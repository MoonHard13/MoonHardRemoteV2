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38cd9a745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34ed2675a9f4bd2"/>
    <x:sheet xmlns:r="http://schemas.openxmlformats.org/officeDocument/2006/relationships" name="UAT Results" sheetId="2" r:id="Rcad376997ff3481f"/>
    <x:sheet xmlns:r="http://schemas.openxmlformats.org/officeDocument/2006/relationships" name="Detailed Results" sheetId="3" r:id="Rb3c1765ec1b04a51"/>
    <x:sheet xmlns:r="http://schemas.openxmlformats.org/officeDocument/2006/relationships" name="Defects" sheetId="4" r:id="Rf7613fbbd6e148a1"/>
    <x:sheet xmlns:r="http://schemas.openxmlformats.org/officeDocument/2006/relationships" name="Test Data" sheetId="5" r:id="Red330186b3f647dd"/>
    <x:sheet xmlns:r="http://schemas.openxmlformats.org/officeDocument/2006/relationships" name="Lists" sheetId="6" r:id="R5ab508a7e1ac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E293B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0" fillId="5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horizontal="left" wrapText="1"/>
    </x:xf>
    <x:xf numFmtId="200" fontId="0" fillId="5" borderId="1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19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color rgb="475569"/>
      </x:font>
      <x:fill>
        <x:patternFill patternType="solid">
          <x:bgColor rgb="F1F5F9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color rgb="475569"/>
      </x:font>
      <x:fill>
        <x:patternFill patternType="solid">
          <x:bgColor rgb="F1F5F9"/>
        </x:patternFill>
      </x:fill>
    </x:dxf>
    <x:dxf>
      <x:font>
        <x:b/>
        <x:color rgb="FFFFFF"/>
      </x:font>
      <x:fill>
        <x:patternFill patternType="solid">
          <x:bgColor rgb="7F1D1D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3730A3"/>
      </x:font>
      <x:fill>
        <x:patternFill patternType="solid">
          <x:bgColor rgb="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49c5099ab4600" /><Relationship Type="http://schemas.openxmlformats.org/officeDocument/2006/relationships/theme" Target="/xl/theme/theme1.xml" Id="Re6177558b2174598" /><Relationship Type="http://schemas.openxmlformats.org/officeDocument/2006/relationships/sharedStrings" Target="/xl/sharedStrings.xml" Id="R8313ae440f284dd6" /><Relationship Type="http://schemas.openxmlformats.org/officeDocument/2006/relationships/worksheet" Target="/xl/worksheets/sheet1.xml" Id="Rc34ed2675a9f4bd2" /><Relationship Type="http://schemas.openxmlformats.org/officeDocument/2006/relationships/worksheet" Target="/xl/worksheets/sheet2.xml" Id="Rcad376997ff3481f" /><Relationship Type="http://schemas.openxmlformats.org/officeDocument/2006/relationships/worksheet" Target="/xl/worksheets/sheet3.xml" Id="Rb3c1765ec1b04a51" /><Relationship Type="http://schemas.openxmlformats.org/officeDocument/2006/relationships/worksheet" Target="/xl/worksheets/sheet4.xml" Id="Rf7613fbbd6e148a1" /><Relationship Type="http://schemas.openxmlformats.org/officeDocument/2006/relationships/worksheet" Target="/xl/worksheets/sheet5.xml" Id="Red330186b3f647dd" /><Relationship Type="http://schemas.openxmlformats.org/officeDocument/2006/relationships/worksheet" Target="/xl/worksheets/sheet6.xml" Id="R5ab508a7e1ac42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30a988218d48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UAT Status Summary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'Dashboard'!$D$3:$D$8</c:f>
              <c:strCache>
                <c:ptCount val="0"/>
              </c:strCache>
            </c:strRef>
          </c:cat>
          <c:val>
            <c:numRef>
              <c:f>'Dashboard'!$E$3:$E$8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30a988218d48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ATResultsTable" displayName="UATResultsTable" ref="A1:M36" headerRowCount="1">
  <x:tableColumns count="13">
    <x:tableColumn id="1" name="UAT ID"/>
    <x:tableColumn id="2" name="Feature"/>
    <x:tableColumn id="3" name="Area"/>
    <x:tableColumn id="4" name="Purpose"/>
    <x:tableColumn id="5" name="Status"/>
    <x:tableColumn id="6" name="Tester"/>
    <x:tableColumn id="7" name="Date"/>
    <x:tableColumn id="8" name="Expected Result"/>
    <x:tableColumn id="9" name="Actual Result"/>
    <x:tableColumn id="10" name="Evidence / Log"/>
    <x:tableColumn id="11" name="Defects Found"/>
    <x:tableColumn id="12" name="Retest Result"/>
    <x:tableColumn id="13" name="Final Notes"/>
  </x:tableColumns>
  <x:tableStyleInfo name="TableStyleMedium2" showRowStripes="1"/>
</x:table>
</file>

<file path=xl/tables/table2.xml><?xml version="1.0" encoding="utf-8"?>
<x:table xmlns:x="http://schemas.openxmlformats.org/spreadsheetml/2006/main" id="2" name="DetailedUATResultsTable" displayName="DetailedUATResultsTable" ref="A1:K36" headerRowCount="1">
  <x:tableColumns count="11">
    <x:tableColumn id="1" name="UAT ID"/>
    <x:tableColumn id="2" name="Feature"/>
    <x:tableColumn id="3" name="Status"/>
    <x:tableColumn id="4" name="Tester"/>
    <x:tableColumn id="5" name="Date"/>
    <x:tableColumn id="6" name="Environment"/>
    <x:tableColumn id="7" name="Evidence / Screenshot / Log"/>
    <x:tableColumn id="8" name="Actual Result"/>
    <x:tableColumn id="9" name="Defects Found"/>
    <x:tableColumn id="10" name="Retest Result"/>
    <x:tableColumn id="11" name="Final Notes"/>
  </x:tableColumns>
  <x:tableStyleInfo name="TableStyleMedium2" showRowStripes="1"/>
</x:table>
</file>

<file path=xl/tables/table3.xml><?xml version="1.0" encoding="utf-8"?>
<x:table xmlns:x="http://schemas.openxmlformats.org/spreadsheetml/2006/main" id="3" name="DefectsTable" displayName="DefectsTable" ref="A1:M2" headerRowCount="1">
  <x:tableColumns count="13">
    <x:tableColumn id="1" name="Defect ID"/>
    <x:tableColumn id="2" name="Related UAT"/>
    <x:tableColumn id="3" name="Severity"/>
    <x:tableColumn id="4" name="Status"/>
    <x:tableColumn id="5" name="Description"/>
    <x:tableColumn id="6" name="Steps To Reproduce"/>
    <x:tableColumn id="7" name="Expected Result"/>
    <x:tableColumn id="8" name="Actual Result"/>
    <x:tableColumn id="9" name="Fix Commit"/>
    <x:tableColumn id="10" name="Retest Result"/>
    <x:tableColumn id="11" name="Owner"/>
    <x:tableColumn id="12" name="Date Opened"/>
    <x:tableColumn id="13" name="Date Closed"/>
  </x:tableColumns>
  <x:tableStyleInfo name="TableStyleMedium2" showRowStripes="1"/>
</x:table>
</file>

<file path=xl/tables/table4.xml><?xml version="1.0" encoding="utf-8"?>
<x:table xmlns:x="http://schemas.openxmlformats.org/spreadsheetml/2006/main" id="4" name="TestDataTable" displayName="TestDataTable" ref="A1:D7" headerRowCount="1">
  <x:tableColumns count="4">
    <x:tableColumn id="1" name="Category"/>
    <x:tableColumn id="2" name="Name"/>
    <x:tableColumn id="3" name="Valu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702ad8b90c48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f2017b33d246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6d638899d848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8a3f012b8647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f1bc593fe54d5f" /></Relationships>
</file>

<file path=xl/worksheets/sheet1.xml><?xml version="1.0" encoding="utf-8"?>
<x:worksheet xmlns:x="http://schemas.openxmlformats.org/spreadsheetml/2006/main">
  <x:sheetFormatPr defaultRowHeight="15"/>
  <x:sheetData>
    <x:row r="1" ht="30" customHeight="1">
      <x:c r="A1" s="26" t="str">
        <x:v>MoonHard Remote V2 — UAT Results Dashboard</x:v>
      </x:c>
      <x:c r="B1" s="26"/>
      <x:c r="C1" s="26"/>
      <x:c r="D1" s="26"/>
      <x:c r="E1" s="26"/>
      <x:c r="F1" s="26"/>
      <x:c r="G1" s="26"/>
      <x:c r="H1" s="26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8" t="str">
        <x:v>Test Cycle</x:v>
      </x:c>
      <x:c r="B3" s="29" t="str">
        <x:v>Cycle 1</x:v>
      </x:c>
      <x:c r="C3" s="27"/>
      <x:c r="D3" s="28" t="str">
        <x:v>Total Tests</x:v>
      </x:c>
      <x:c r="E3" s="29" t="n">
        <x:f>COUNTA('UAT Results'!A2:A36)</x:f>
        <x:v>35</x:v>
      </x:c>
      <x:c r="F3" s="27"/>
      <x:c r="G3" s="28" t="str">
        <x:v>Open Defects</x:v>
      </x:c>
      <x:c r="H3" s="29" t="n">
        <x:f>COUNTIF(Defects!D2:D200,"Open")</x:f>
        <x:v>1</x:v>
      </x:c>
    </x:row>
    <x:row r="4">
      <x:c r="A4" s="28" t="str">
        <x:v>Tester</x:v>
      </x:c>
      <x:c r="B4" s="29" t="str">
        <x:v>Dim Mak</x:v>
      </x:c>
      <x:c r="C4" s="27"/>
      <x:c r="D4" s="28" t="str">
        <x:v>Not Started</x:v>
      </x:c>
      <x:c r="E4" s="29" t="n">
        <x:f>COUNTIF('UAT Results'!E2:E36,"Not Started")</x:f>
        <x:v>35</x:v>
      </x:c>
      <x:c r="F4" s="27"/>
      <x:c r="G4" s="28" t="str">
        <x:v>Critical Defects</x:v>
      </x:c>
      <x:c r="H4" s="29" t="n">
        <x:f>COUNTIF(Defects!C2:C200,"Critical")</x:f>
        <x:v>0</x:v>
      </x:c>
    </x:row>
    <x:row r="5">
      <x:c r="A5" s="28" t="str">
        <x:v>Environment</x:v>
      </x:c>
      <x:c r="B5" s="29" t="str">
        <x:v>Render + Supabase</x:v>
      </x:c>
      <x:c r="C5" s="27"/>
      <x:c r="D5" s="28" t="str">
        <x:v>Pass</x:v>
      </x:c>
      <x:c r="E5" s="29" t="n">
        <x:f>COUNTIF('UAT Results'!E2:E36,"Pass")</x:f>
        <x:v>0</x:v>
      </x:c>
      <x:c r="F5" s="27"/>
      <x:c r="G5" s="28" t="str">
        <x:v>High Defects</x:v>
      </x:c>
      <x:c r="H5" s="29" t="n">
        <x:f>COUNTIF(Defects!C2:C200,"High")</x:f>
        <x:v>0</x:v>
      </x:c>
    </x:row>
    <x:row r="6">
      <x:c r="A6" s="28" t="str">
        <x:v>Server URL</x:v>
      </x:c>
      <x:c r="B6" s="29" t="str">
        <x:v>https://moonhardremotev2.onrender.com</x:v>
      </x:c>
      <x:c r="C6" s="27"/>
      <x:c r="D6" s="28" t="str">
        <x:v>Fail</x:v>
      </x:c>
      <x:c r="E6" s="29" t="n">
        <x:f>COUNTIF('UAT Results'!E2:E36,"Fail")</x:f>
        <x:v>0</x:v>
      </x:c>
      <x:c r="F6" s="27"/>
      <x:c r="G6" s="28" t="str">
        <x:v>Fixed Defects</x:v>
      </x:c>
      <x:c r="H6" s="29" t="n">
        <x:f>COUNTIF(Defects!D2:D200,"Fixed")</x:f>
        <x:v>0</x:v>
      </x:c>
    </x:row>
    <x:row r="7">
      <x:c r="A7" s="28" t="str">
        <x:v>Dashboard Version</x:v>
      </x:c>
      <x:c r="B7" s="29" t="str">
        <x:v>1.0.0</x:v>
      </x:c>
      <x:c r="C7" s="27"/>
      <x:c r="D7" s="28" t="str">
        <x:v>Blocked</x:v>
      </x:c>
      <x:c r="E7" s="29" t="n">
        <x:f>COUNTIF('UAT Results'!E2:E36,"Blocked")</x:f>
        <x:v>0</x:v>
      </x:c>
      <x:c r="F7" s="27"/>
      <x:c r="G7" s="28" t="str">
        <x:v>Closed Defects</x:v>
      </x:c>
      <x:c r="H7" s="29" t="n">
        <x:f>COUNTIF(Defects!D2:D200,"Closed")</x:f>
        <x:v>0</x:v>
      </x:c>
    </x:row>
    <x:row r="8">
      <x:c r="A8" s="28" t="str">
        <x:v>Client Version</x:v>
      </x:c>
      <x:c r="B8" s="29" t="str">
        <x:v>1.0.0</x:v>
      </x:c>
      <x:c r="C8" s="27"/>
      <x:c r="D8" s="28" t="str">
        <x:v>Retest</x:v>
      </x:c>
      <x:c r="E8" s="29" t="n">
        <x:f>COUNTIF('UAT Results'!E2:E36,"Retest")</x:f>
        <x:v>0</x:v>
      </x:c>
      <x:c r="F8" s="27"/>
      <x:c r="G8" s="27"/>
      <x:c r="H8" s="27"/>
    </x:row>
    <x:row r="9">
      <x:c r="A9" s="28" t="str">
        <x:v>Test Start Date</x:v>
      </x:c>
      <x:c r="B9" s="48" t="str"/>
      <x:c r="C9" s="27"/>
      <x:c r="D9" s="27"/>
      <x:c r="E9" s="27"/>
      <x:c r="F9" s="27"/>
      <x:c r="G9" s="27"/>
      <x:c r="H9" s="27"/>
    </x:row>
    <x:row r="10">
      <x:c r="A10" s="28" t="str">
        <x:v>Test End Date</x:v>
      </x:c>
      <x:c r="B10" s="48" t="str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30" t="str">
        <x:v>Release Approval</x:v>
      </x:c>
      <x:c r="B12" s="30"/>
      <x:c r="C12" s="30"/>
      <x:c r="D12" s="30"/>
      <x:c r="E12" s="30"/>
      <x:c r="F12" s="30"/>
      <x:c r="G12" s="30"/>
      <x:c r="H12" s="30"/>
    </x:row>
    <x:row r="13">
      <x:c r="A13" s="28" t="str">
        <x:v>Approved By</x:v>
      </x:c>
      <x:c r="B13" s="29" t="str"/>
      <x:c r="C13" s="27"/>
      <x:c r="D13" s="27"/>
      <x:c r="E13" s="27"/>
      <x:c r="F13" s="27"/>
      <x:c r="G13" s="27"/>
      <x:c r="H13" s="27"/>
    </x:row>
    <x:row r="14">
      <x:c r="A14" s="28" t="str">
        <x:v>Approval Date</x:v>
      </x:c>
      <x:c r="B14" s="48" t="str"/>
      <x:c r="C14" s="27"/>
      <x:c r="D14" s="27"/>
      <x:c r="E14" s="27"/>
      <x:c r="F14" s="27"/>
      <x:c r="G14" s="27"/>
      <x:c r="H14" s="27"/>
    </x:row>
    <x:row r="15">
      <x:c r="A15" s="28" t="str">
        <x:v>Overall Status</x:v>
      </x:c>
      <x:c r="B15" s="29" t="str">
        <x:v>Not Started</x:v>
      </x:c>
      <x:c r="C15" s="27"/>
      <x:c r="D15" s="27"/>
      <x:c r="E15" s="27"/>
      <x:c r="F15" s="27"/>
      <x:c r="G15" s="27"/>
      <x:c r="H15" s="27"/>
    </x:row>
    <x:row r="16">
      <x:c r="A16" s="28" t="str">
        <x:v>Release Notes</x:v>
      </x:c>
      <x:c r="B16" s="29" t="str"/>
      <x:c r="C16" s="27"/>
      <x:c r="D16" s="27"/>
      <x:c r="E16" s="27"/>
      <x:c r="F16" s="27"/>
      <x:c r="G16" s="27"/>
      <x:c r="H16" s="27"/>
    </x:row>
    <x:row r="17">
      <x:c r="A17" s="28" t="str">
        <x:v>Final Decision</x:v>
      </x:c>
      <x:c r="B17" s="29" t="str"/>
      <x:c r="C17" s="27"/>
      <x:c r="D17" s="27"/>
      <x:c r="E17" s="27"/>
      <x:c r="F17" s="27"/>
      <x:c r="G17" s="27"/>
      <x:c r="H17" s="27"/>
    </x:row>
  </x:sheetData>
  <x:mergeCells>
    <x:mergeCell ref="A1:H1"/>
    <x:mergeCell ref="A12:H12"/>
  </x:mergeCells>
  <x:conditionalFormatting sqref="B15:B15">
    <x:cfRule type="expression" dxfId="2" priority="1">
      <x:formula>C2="Pass"</x:formula>
    </x:cfRule>
  </x:conditionalFormatting>
  <x:dataValidations count="1">
    <x:dataValidation type="list" sqref="B15">
      <x:formula1>Lists!$A$2:$A$7</x:formula1>
    </x:dataValidation>
  </x:dataValidations>
  <x:pageMargins left="0.7" right="0.7" top="0.75" bottom="0.75" header="0.3" footer="0.3"/>
  <x:drawing xmlns:r="http://schemas.openxmlformats.org/officeDocument/2006/relationships" r:id="Rea702ad8b90c4831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18" hidden="0" customWidth="1"/>
    <x:col min="4" max="4" width="36" hidden="0" customWidth="1"/>
    <x:col min="5" max="5" width="14" hidden="0" customWidth="1"/>
    <x:col min="6" max="6" width="16" hidden="0" customWidth="1"/>
    <x:col min="7" max="7" width="14" hidden="0" customWidth="1"/>
    <x:col min="8" max="8" width="42" hidden="0" customWidth="1"/>
    <x:col min="9" max="9" width="38" hidden="0" customWidth="1"/>
    <x:col min="10" max="10" width="32" hidden="0" customWidth="1"/>
    <x:col min="11" max="11" width="28" hidden="0" customWidth="1"/>
    <x:col min="12" max="12" width="24" hidden="0" customWidth="1"/>
    <x:col min="13" max="13" width="34" hidden="0" customWidth="1"/>
  </x:cols>
  <x:sheetData>
    <x:row r="1" ht="30" customHeight="1">
      <x:c r="A1" s="40" t="str">
        <x:v>UAT ID</x:v>
      </x:c>
      <x:c r="B1" s="40" t="str">
        <x:v>Feature</x:v>
      </x:c>
      <x:c r="C1" s="40" t="str">
        <x:v>Area</x:v>
      </x:c>
      <x:c r="D1" s="40" t="str">
        <x:v>Purpose</x:v>
      </x:c>
      <x:c r="E1" s="40" t="str">
        <x:v>Status</x:v>
      </x:c>
      <x:c r="F1" s="40" t="str">
        <x:v>Tester</x:v>
      </x:c>
      <x:c r="G1" s="40" t="str">
        <x:v>Date</x:v>
      </x:c>
      <x:c r="H1" s="40" t="str">
        <x:v>Expected Result</x:v>
      </x:c>
      <x:c r="I1" s="40" t="str">
        <x:v>Actual Result</x:v>
      </x:c>
      <x:c r="J1" s="40" t="str">
        <x:v>Evidence / Log</x:v>
      </x:c>
      <x:c r="K1" s="40" t="str">
        <x:v>Defects Found</x:v>
      </x:c>
      <x:c r="L1" s="40" t="str">
        <x:v>Retest Result</x:v>
      </x:c>
      <x:c r="M1" s="40" t="str">
        <x:v>Final Notes</x:v>
      </x:c>
    </x:row>
    <x:row r="2" ht="40" customHeight="1">
      <x:c r="A2" s="27" t="str">
        <x:v>UAT-001</x:v>
      </x:c>
      <x:c r="B2" s="27" t="str">
        <x:v>Render server starts successfully</x:v>
      </x:c>
      <x:c r="C2" s="27" t="str">
        <x:v>Core connectivity</x:v>
      </x:c>
      <x:c r="D2" s="27" t="str">
        <x:v>Render server starts and routes are registered</x:v>
      </x:c>
      <x:c r="E2" s="27" t="str">
        <x:v>Not Started</x:v>
      </x:c>
      <x:c r="F2" s="27" t="str"/>
      <x:c r="G2" s="46" t="str"/>
      <x:c r="H2" s="27" t="str">
        <x:v>Render service live; no startup crash</x:v>
      </x:c>
      <x:c r="I2" s="27" t="str"/>
      <x:c r="J2" s="27" t="str"/>
      <x:c r="K2" s="27" t="str"/>
      <x:c r="L2" s="27" t="str"/>
      <x:c r="M2" s="27" t="str"/>
    </x:row>
    <x:row r="3" ht="40" customHeight="1">
      <x:c r="A3" s="27" t="str">
        <x:v>UAT-002</x:v>
      </x:c>
      <x:c r="B3" s="27" t="str">
        <x:v>Server rejects missing/invalid dashboard token</x:v>
      </x:c>
      <x:c r="C3" s="27" t="str">
        <x:v>Security</x:v>
      </x:c>
      <x:c r="D3" s="27" t="str">
        <x:v>Verify dashboard WebSocket authentication</x:v>
      </x:c>
      <x:c r="E3" s="27" t="str">
        <x:v>Not Started</x:v>
      </x:c>
      <x:c r="F3" s="27" t="str"/>
      <x:c r="G3" s="46" t="str"/>
      <x:c r="H3" s="27" t="str">
        <x:v>Invalid token is rejected; no clients list</x:v>
      </x:c>
      <x:c r="I3" s="27" t="str"/>
      <x:c r="J3" s="27" t="str"/>
      <x:c r="K3" s="27" t="str"/>
      <x:c r="L3" s="27" t="str"/>
      <x:c r="M3" s="27" t="str"/>
    </x:row>
    <x:row r="4" ht="40" customHeight="1">
      <x:c r="A4" s="27" t="str">
        <x:v>UAT-003</x:v>
      </x:c>
      <x:c r="B4" s="27" t="str">
        <x:v>Client connects to Render server</x:v>
      </x:c>
      <x:c r="C4" s="27" t="str">
        <x:v>Core connectivity</x:v>
      </x:c>
      <x:c r="D4" s="27" t="str">
        <x:v>Verify client WebSocket registration</x:v>
      </x:c>
      <x:c r="E4" s="27" t="str">
        <x:v>Not Started</x:v>
      </x:c>
      <x:c r="F4" s="27" t="str"/>
      <x:c r="G4" s="46" t="str"/>
      <x:c r="H4" s="27" t="str">
        <x:v>Client receives registered response and appears online</x:v>
      </x:c>
      <x:c r="I4" s="27" t="str"/>
      <x:c r="J4" s="27" t="str"/>
      <x:c r="K4" s="27" t="str"/>
      <x:c r="L4" s="27" t="str"/>
      <x:c r="M4" s="27" t="str"/>
    </x:row>
    <x:row r="5" ht="40" customHeight="1">
      <x:c r="A5" s="27" t="str">
        <x:v>UAT-004</x:v>
      </x:c>
      <x:c r="B5" s="27" t="str">
        <x:v>Client is saved in Supabase</x:v>
      </x:c>
      <x:c r="C5" s="27" t="str">
        <x:v>Database</x:v>
      </x:c>
      <x:c r="D5" s="27" t="str">
        <x:v>Verify client row persistence</x:v>
      </x:c>
      <x:c r="E5" s="27" t="str">
        <x:v>Not Started</x:v>
      </x:c>
      <x:c r="F5" s="27" t="str"/>
      <x:c r="G5" s="46" t="str"/>
      <x:c r="H5" s="27" t="str">
        <x:v>clients row contains client_code, display_name, pc_name, username, app_version, status</x:v>
      </x:c>
      <x:c r="I5" s="27" t="str"/>
      <x:c r="J5" s="27" t="str"/>
      <x:c r="K5" s="27" t="str"/>
      <x:c r="L5" s="27" t="str"/>
      <x:c r="M5" s="27" t="str"/>
    </x:row>
    <x:row r="6" ht="40" customHeight="1">
      <x:c r="A6" s="27" t="str">
        <x:v>UAT-005</x:v>
      </x:c>
      <x:c r="B6" s="27" t="str">
        <x:v>Dashboard displays client list</x:v>
      </x:c>
      <x:c r="C6" s="27" t="str">
        <x:v>Dashboard</x:v>
      </x:c>
      <x:c r="D6" s="27" t="str">
        <x:v>Verify dashboard receives and renders clients</x:v>
      </x:c>
      <x:c r="E6" s="27" t="str">
        <x:v>Not Started</x:v>
      </x:c>
      <x:c r="F6" s="27" t="str"/>
      <x:c r="G6" s="46" t="str"/>
      <x:c r="H6" s="27" t="str">
        <x:v>Connected clients list shows online/offline clients correctly</x:v>
      </x:c>
      <x:c r="I6" s="27" t="str"/>
      <x:c r="J6" s="27" t="str"/>
      <x:c r="K6" s="27" t="str"/>
      <x:c r="L6" s="27" t="str"/>
      <x:c r="M6" s="27" t="str"/>
    </x:row>
    <x:row r="7" ht="40" customHeight="1">
      <x:c r="A7" s="27" t="str">
        <x:v>UAT-006</x:v>
      </x:c>
      <x:c r="B7" s="27" t="str">
        <x:v>Client goes offline after closing client</x:v>
      </x:c>
      <x:c r="C7" s="27" t="str">
        <x:v>Core connectivity</x:v>
      </x:c>
      <x:c r="D7" s="27" t="str">
        <x:v>Verify offline marking</x:v>
      </x:c>
      <x:c r="E7" s="27" t="str">
        <x:v>Not Started</x:v>
      </x:c>
      <x:c r="F7" s="27" t="str"/>
      <x:c r="G7" s="46" t="str"/>
      <x:c r="H7" s="27" t="str">
        <x:v>Dashboard and Supabase show client offline</x:v>
      </x:c>
      <x:c r="I7" s="27" t="str"/>
      <x:c r="J7" s="27" t="str"/>
      <x:c r="K7" s="27" t="str"/>
      <x:c r="L7" s="27" t="str"/>
      <x:c r="M7" s="27" t="str"/>
    </x:row>
    <x:row r="8" ht="40" customHeight="1">
      <x:c r="A8" s="27" t="str">
        <x:v>UAT-007</x:v>
      </x:c>
      <x:c r="B8" s="27" t="str">
        <x:v>Heartbeat updates online client</x:v>
      </x:c>
      <x:c r="C8" s="27" t="str">
        <x:v>Core connectivity</x:v>
      </x:c>
      <x:c r="D8" s="27" t="str">
        <x:v>Verify last_seen heartbeat updates</x:v>
      </x:c>
      <x:c r="E8" s="27" t="str">
        <x:v>Not Started</x:v>
      </x:c>
      <x:c r="F8" s="27" t="str"/>
      <x:c r="G8" s="46" t="str"/>
      <x:c r="H8" s="27" t="str">
        <x:v>last_seen updates while client remains online</x:v>
      </x:c>
      <x:c r="I8" s="27" t="str"/>
      <x:c r="J8" s="27" t="str"/>
      <x:c r="K8" s="27" t="str"/>
      <x:c r="L8" s="27" t="str"/>
      <x:c r="M8" s="27" t="str"/>
    </x:row>
    <x:row r="9" ht="40" customHeight="1">
      <x:c r="A9" s="27" t="str">
        <x:v>UAT-008</x:v>
      </x:c>
      <x:c r="B9" s="27" t="str">
        <x:v>Rename client from Manage</x:v>
      </x:c>
      <x:c r="C9" s="27" t="str">
        <x:v>Client management</x:v>
      </x:c>
      <x:c r="D9" s="27" t="str">
        <x:v>Verify friendly name rename and persistence</x:v>
      </x:c>
      <x:c r="E9" s="27" t="str">
        <x:v>Not Started</x:v>
      </x:c>
      <x:c r="F9" s="27" t="str"/>
      <x:c r="G9" s="46" t="str"/>
      <x:c r="H9" s="27" t="str">
        <x:v>display_name saved and not overwritten by reconnect</x:v>
      </x:c>
      <x:c r="I9" s="27" t="str"/>
      <x:c r="J9" s="27" t="str"/>
      <x:c r="K9" s="27" t="str"/>
      <x:c r="L9" s="27" t="str"/>
      <x:c r="M9" s="27" t="str"/>
    </x:row>
    <x:row r="10" ht="40" customHeight="1">
      <x:c r="A10" s="27" t="str">
        <x:v>UAT-009</x:v>
      </x:c>
      <x:c r="B10" s="27" t="str">
        <x:v>Manage window opens per client</x:v>
      </x:c>
      <x:c r="C10" s="27" t="str">
        <x:v>Client management</x:v>
      </x:c>
      <x:c r="D10" s="27" t="str">
        <x:v>Verify actions route to correct Manage window</x:v>
      </x:c>
      <x:c r="E10" s="27" t="str">
        <x:v>Not Started</x:v>
      </x:c>
      <x:c r="F10" s="27" t="str"/>
      <x:c r="G10" s="46" t="str"/>
      <x:c r="H10" s="27" t="str">
        <x:v>Each client Manage window receives its own results</x:v>
      </x:c>
      <x:c r="I10" s="27" t="str"/>
      <x:c r="J10" s="27" t="str"/>
      <x:c r="K10" s="27" t="str"/>
      <x:c r="L10" s="27" t="str"/>
      <x:c r="M10" s="27" t="str"/>
    </x:row>
    <x:row r="11" ht="40" customHeight="1">
      <x:c r="A11" s="27" t="str">
        <x:v>UAT-010</x:v>
      </x:c>
      <x:c r="B11" s="27" t="str">
        <x:v>CMD terminal command execution</x:v>
      </x:c>
      <x:c r="C11" s="27" t="str">
        <x:v>Terminal</x:v>
      </x:c>
      <x:c r="D11" s="27" t="str">
        <x:v>Verify remote CMD execution</x:v>
      </x:c>
      <x:c r="E11" s="27" t="str">
        <x:v>Not Started</x:v>
      </x:c>
      <x:c r="F11" s="27" t="str"/>
      <x:c r="G11" s="46" t="str"/>
      <x:c r="H11" s="27" t="str">
        <x:v>CMD output, exit code, cwd shown</x:v>
      </x:c>
      <x:c r="I11" s="27" t="str"/>
      <x:c r="J11" s="27" t="str"/>
      <x:c r="K11" s="27" t="str"/>
      <x:c r="L11" s="27" t="str"/>
      <x:c r="M11" s="27" t="str"/>
    </x:row>
    <x:row r="12" ht="40" customHeight="1">
      <x:c r="A12" s="27" t="str">
        <x:v>UAT-011</x:v>
      </x:c>
      <x:c r="B12" s="27" t="str">
        <x:v>PowerShell command execution</x:v>
      </x:c>
      <x:c r="C12" s="27" t="str">
        <x:v>Terminal</x:v>
      </x:c>
      <x:c r="D12" s="27" t="str">
        <x:v>Verify remote PowerShell execution</x:v>
      </x:c>
      <x:c r="E12" s="27" t="str">
        <x:v>Not Started</x:v>
      </x:c>
      <x:c r="F12" s="27" t="str"/>
      <x:c r="G12" s="46" t="str"/>
      <x:c r="H12" s="27" t="str">
        <x:v>PowerShell output appears correctly</x:v>
      </x:c>
      <x:c r="I12" s="27" t="str"/>
      <x:c r="J12" s="27" t="str"/>
      <x:c r="K12" s="27" t="str"/>
      <x:c r="L12" s="27" t="str"/>
      <x:c r="M12" s="27" t="str"/>
    </x:row>
    <x:row r="13" ht="40" customHeight="1">
      <x:c r="A13" s="27" t="str">
        <x:v>UAT-012</x:v>
      </x:c>
      <x:c r="B13" s="27" t="str">
        <x:v>Persistent terminal current directory</x:v>
      </x:c>
      <x:c r="C13" s="27" t="str">
        <x:v>Terminal</x:v>
      </x:c>
      <x:c r="D13" s="27" t="str">
        <x:v>Verify cd state persists</x:v>
      </x:c>
      <x:c r="E13" s="27" t="str">
        <x:v>Not Started</x:v>
      </x:c>
      <x:c r="F13" s="27" t="str"/>
      <x:c r="G13" s="46" t="str"/>
      <x:c r="H13" s="27" t="str">
        <x:v>Subsequent commands use updated cwd</x:v>
      </x:c>
      <x:c r="I13" s="27" t="str"/>
      <x:c r="J13" s="27" t="str"/>
      <x:c r="K13" s="27" t="str"/>
      <x:c r="L13" s="27" t="str"/>
      <x:c r="M13" s="27" t="str"/>
    </x:row>
    <x:row r="14" ht="40" customHeight="1">
      <x:c r="A14" s="27" t="str">
        <x:v>UAT-013</x:v>
      </x:c>
      <x:c r="B14" s="27" t="str">
        <x:v>Terminal command history</x:v>
      </x:c>
      <x:c r="C14" s="27" t="str">
        <x:v>Terminal</x:v>
      </x:c>
      <x:c r="D14" s="27" t="str">
        <x:v>Verify Up/Down history</x:v>
      </x:c>
      <x:c r="E14" s="27" t="str">
        <x:v>Not Started</x:v>
      </x:c>
      <x:c r="F14" s="27" t="str"/>
      <x:c r="G14" s="46" t="str"/>
      <x:c r="H14" s="27" t="str">
        <x:v>Previous commands cycle correctly without executing</x:v>
      </x:c>
      <x:c r="I14" s="27" t="str"/>
      <x:c r="J14" s="27" t="str"/>
      <x:c r="K14" s="27" t="str"/>
      <x:c r="L14" s="27" t="str"/>
      <x:c r="M14" s="27" t="str"/>
    </x:row>
    <x:row r="15" ht="40" customHeight="1">
      <x:c r="A15" s="27" t="str">
        <x:v>UAT-014</x:v>
      </x:c>
      <x:c r="B15" s="27" t="str">
        <x:v>Terminal Tab autocomplete basic</x:v>
      </x:c>
      <x:c r="C15" s="27" t="str">
        <x:v>Terminal</x:v>
      </x:c>
      <x:c r="D15" s="27" t="str">
        <x:v>Verify basic Tab autocomplete</x:v>
      </x:c>
      <x:c r="E15" s="27" t="str">
        <x:v>Not Started</x:v>
      </x:c>
      <x:c r="F15" s="27" t="str"/>
      <x:c r="G15" s="46" t="str"/>
      <x:c r="H15" s="27" t="str">
        <x:v>Partial input becomes matching path, e.g. de → Desktop\</x:v>
      </x:c>
      <x:c r="I15" s="27" t="str"/>
      <x:c r="J15" s="27" t="str"/>
      <x:c r="K15" s="27" t="str"/>
      <x:c r="L15" s="27" t="str"/>
      <x:c r="M15" s="27" t="str"/>
    </x:row>
    <x:row r="16" ht="40" customHeight="1">
      <x:c r="A16" s="27" t="str">
        <x:v>UAT-015</x:v>
      </x:c>
      <x:c r="B16" s="27" t="str">
        <x:v>Terminal Tab autocomplete with command prefix</x:v>
      </x:c>
      <x:c r="C16" s="27" t="str">
        <x:v>Terminal</x:v>
      </x:c>
      <x:c r="D16" s="27" t="str">
        <x:v>Verify Tab keeps command prefix</x:v>
      </x:c>
      <x:c r="E16" s="27" t="str">
        <x:v>Not Started</x:v>
      </x:c>
      <x:c r="F16" s="27" t="str"/>
      <x:c r="G16" s="46" t="str"/>
      <x:c r="H16" s="27" t="str">
        <x:v>cd de → cd Desktop\</x:v>
      </x:c>
      <x:c r="I16" s="27" t="str"/>
      <x:c r="J16" s="27" t="str"/>
      <x:c r="K16" s="27" t="str"/>
      <x:c r="L16" s="27" t="str"/>
      <x:c r="M16" s="27" t="str"/>
    </x:row>
    <x:row r="17" ht="40" customHeight="1">
      <x:c r="A17" s="27" t="str">
        <x:v>UAT-016</x:v>
      </x:c>
      <x:c r="B17" s="27" t="str">
        <x:v>AppSettings auto-read on client connect</x:v>
      </x:c>
      <x:c r="C17" s="27" t="str">
        <x:v>AppSettings</x:v>
      </x:c>
      <x:c r="D17" s="27" t="str">
        <x:v>Verify auto-read and save of appsettings.production.json</x:v>
      </x:c>
      <x:c r="E17" s="27" t="str">
        <x:v>Not Started</x:v>
      </x:c>
      <x:c r="F17" s="27" t="str"/>
      <x:c r="G17" s="46" t="str"/>
      <x:c r="H17" s="27" t="str">
        <x:v>client_appsettings saves raw_json, raw_text, bo_connections, provider_connections</x:v>
      </x:c>
      <x:c r="I17" s="27" t="str"/>
      <x:c r="J17" s="27" t="str"/>
      <x:c r="K17" s="27" t="str"/>
      <x:c r="L17" s="27" t="str"/>
      <x:c r="M17" s="27" t="str"/>
    </x:row>
    <x:row r="18" ht="40" customHeight="1">
      <x:c r="A18" s="27" t="str">
        <x:v>UAT-017</x:v>
      </x:c>
      <x:c r="B18" s="27" t="str">
        <x:v>AppSettings missing file</x:v>
      </x:c>
      <x:c r="C18" s="27" t="str">
        <x:v>AppSettings</x:v>
      </x:c>
      <x:c r="D18" s="27" t="str">
        <x:v>Verify missing file does not crash client</x:v>
      </x:c>
      <x:c r="E18" s="27" t="str">
        <x:v>Not Started</x:v>
      </x:c>
      <x:c r="F18" s="27" t="str"/>
      <x:c r="G18" s="46" t="str"/>
      <x:c r="H18" s="27" t="str">
        <x:v>file_found=false and client remains connected</x:v>
      </x:c>
      <x:c r="I18" s="27" t="str"/>
      <x:c r="J18" s="27" t="str"/>
      <x:c r="K18" s="27" t="str"/>
      <x:c r="L18" s="27" t="str"/>
      <x:c r="M18" s="27" t="str"/>
    </x:row>
    <x:row r="19" ht="40" customHeight="1">
      <x:c r="A19" s="27" t="str">
        <x:v>UAT-018</x:v>
      </x:c>
      <x:c r="B19" s="27" t="str">
        <x:v>AppSettings tab displays BOConnections</x:v>
      </x:c>
      <x:c r="C19" s="27" t="str">
        <x:v>AppSettings</x:v>
      </x:c>
      <x:c r="D19" s="27" t="str">
        <x:v>Verify Manage AppSettings tab</x:v>
      </x:c>
      <x:c r="E19" s="27" t="str">
        <x:v>Not Started</x:v>
      </x:c>
      <x:c r="F19" s="27" t="str"/>
      <x:c r="G19" s="46" t="str"/>
      <x:c r="H19" s="27" t="str">
        <x:v>BOConnection dropdown shows IDs and default ID 1</x:v>
      </x:c>
      <x:c r="I19" s="27" t="str"/>
      <x:c r="J19" s="27" t="str"/>
      <x:c r="K19" s="27" t="str"/>
      <x:c r="L19" s="27" t="str"/>
      <x:c r="M19" s="27" t="str"/>
    </x:row>
    <x:row r="20" ht="40" customHeight="1">
      <x:c r="A20" s="27" t="str">
        <x:v>UAT-019</x:v>
      </x:c>
      <x:c r="B20" s="27" t="str">
        <x:v>SQL Test Connection default BOConnection ID 1</x:v>
      </x:c>
      <x:c r="C20" s="27" t="str">
        <x:v>SQL</x:v>
      </x:c>
      <x:c r="D20" s="27" t="str">
        <x:v>Verify Test Connection with default ID 1</x:v>
      </x:c>
      <x:c r="E20" s="27" t="str">
        <x:v>Not Started</x:v>
      </x:c>
      <x:c r="F20" s="27" t="str"/>
      <x:c r="G20" s="46" t="str"/>
      <x:c r="H20" s="27" t="str">
        <x:v>Success, driver, elapsed, server, database, login displayed</x:v>
      </x:c>
      <x:c r="I20" s="27" t="str"/>
      <x:c r="J20" s="27" t="str"/>
      <x:c r="K20" s="27" t="str"/>
      <x:c r="L20" s="27" t="str"/>
      <x:c r="M20" s="27" t="str"/>
    </x:row>
    <x:row r="21" ht="40" customHeight="1">
      <x:c r="A21" s="27" t="str">
        <x:v>UAT-020</x:v>
      </x:c>
      <x:c r="B21" s="27" t="str">
        <x:v>SQL Test Connection other BOConnection ID</x:v>
      </x:c>
      <x:c r="C21" s="27" t="str">
        <x:v>SQL</x:v>
      </x:c>
      <x:c r="D21" s="27" t="str">
        <x:v>Verify Test Connection with selected ID</x:v>
      </x:c>
      <x:c r="E21" s="27" t="str">
        <x:v>Not Started</x:v>
      </x:c>
      <x:c r="F21" s="27" t="str"/>
      <x:c r="G21" s="46" t="str"/>
      <x:c r="H21" s="27" t="str">
        <x:v>Selected ID uses correct database/server</x:v>
      </x:c>
      <x:c r="I21" s="27" t="str"/>
      <x:c r="J21" s="27" t="str"/>
      <x:c r="K21" s="27" t="str"/>
      <x:c r="L21" s="27" t="str"/>
      <x:c r="M21" s="27" t="str"/>
    </x:row>
    <x:row r="22" ht="40" customHeight="1">
      <x:c r="A22" s="27" t="str">
        <x:v>UAT-021</x:v>
      </x:c>
      <x:c r="B22" s="27" t="str">
        <x:v>SQL SELECT query execution</x:v>
      </x:c>
      <x:c r="C22" s="27" t="str">
        <x:v>SQL</x:v>
      </x:c>
      <x:c r="D22" s="27" t="str">
        <x:v>Verify SQL SELECT execution</x:v>
      </x:c>
      <x:c r="E22" s="27" t="str">
        <x:v>Not Started</x:v>
      </x:c>
      <x:c r="F22" s="27" t="str"/>
      <x:c r="G22" s="46" t="str"/>
      <x:c r="H22" s="27" t="str">
        <x:v>Result set returned; driver and elapsed displayed</x:v>
      </x:c>
      <x:c r="I22" s="27" t="str"/>
      <x:c r="J22" s="27" t="str"/>
      <x:c r="K22" s="27" t="str"/>
      <x:c r="L22" s="27" t="str"/>
      <x:c r="M22" s="27" t="str"/>
    </x:row>
    <x:row r="23" ht="40" customHeight="1">
      <x:c r="A23" s="27" t="str">
        <x:v>UAT-022</x:v>
      </x:c>
      <x:c r="B23" s="27" t="str">
        <x:v>SQL INFORMATION_SCHEMA query</x:v>
      </x:c>
      <x:c r="C23" s="27" t="str">
        <x:v>SQL</x:v>
      </x:c>
      <x:c r="D23" s="27" t="str">
        <x:v>Verify multi-column SELECT result</x:v>
      </x:c>
      <x:c r="E23" s="27" t="str">
        <x:v>Not Started</x:v>
      </x:c>
      <x:c r="F23" s="27" t="str"/>
      <x:c r="G23" s="46" t="str"/>
      <x:c r="H23" s="27" t="str">
        <x:v>Rows and columns displayed correctly</x:v>
      </x:c>
      <x:c r="I23" s="27" t="str"/>
      <x:c r="J23" s="27" t="str"/>
      <x:c r="K23" s="27" t="str"/>
      <x:c r="L23" s="27" t="str"/>
      <x:c r="M23" s="27" t="str"/>
    </x:row>
    <x:row r="24" ht="40" customHeight="1">
      <x:c r="A24" s="27" t="str">
        <x:v>UAT-023</x:v>
      </x:c>
      <x:c r="B24" s="27" t="str">
        <x:v>SQL multiple result sets</x:v>
      </x:c>
      <x:c r="C24" s="27" t="str">
        <x:v>SQL</x:v>
      </x:c>
      <x:c r="D24" s="27" t="str">
        <x:v>Verify multiple SELECT statements</x:v>
      </x:c>
      <x:c r="E24" s="27" t="str">
        <x:v>Not Started</x:v>
      </x:c>
      <x:c r="F24" s="27" t="str"/>
      <x:c r="G24" s="46" t="str"/>
      <x:c r="H24" s="27" t="str">
        <x:v>Multiple result sets are separated</x:v>
      </x:c>
      <x:c r="I24" s="27" t="str"/>
      <x:c r="J24" s="27" t="str"/>
      <x:c r="K24" s="27" t="str"/>
      <x:c r="L24" s="27" t="str"/>
      <x:c r="M24" s="27" t="str"/>
    </x:row>
    <x:row r="25" ht="40" customHeight="1">
      <x:c r="A25" s="27" t="str">
        <x:v>UAT-024</x:v>
      </x:c>
      <x:c r="B25" s="27" t="str">
        <x:v>SQL GO batch execution</x:v>
      </x:c>
      <x:c r="C25" s="27" t="str">
        <x:v>SQL</x:v>
      </x:c>
      <x:c r="D25" s="27" t="str">
        <x:v>Verify GO batch splitting</x:v>
      </x:c>
      <x:c r="E25" s="27" t="str">
        <x:v>Not Started</x:v>
      </x:c>
      <x:c r="F25" s="27" t="str"/>
      <x:c r="G25" s="46" t="str"/>
      <x:c r="H25" s="27" t="str">
        <x:v>Each GO batch executes separately</x:v>
      </x:c>
      <x:c r="I25" s="27" t="str"/>
      <x:c r="J25" s="27" t="str"/>
      <x:c r="K25" s="27" t="str"/>
      <x:c r="L25" s="27" t="str"/>
      <x:c r="M25" s="27" t="str"/>
    </x:row>
    <x:row r="26" ht="40" customHeight="1">
      <x:c r="A26" s="27" t="str">
        <x:v>UAT-025</x:v>
      </x:c>
      <x:c r="B26" s="27" t="str">
        <x:v>Load .sql file</x:v>
      </x:c>
      <x:c r="C26" s="27" t="str">
        <x:v>SQL</x:v>
      </x:c>
      <x:c r="D26" s="27" t="str">
        <x:v>Verify SQL file loading</x:v>
      </x:c>
      <x:c r="E26" s="27" t="str">
        <x:v>Not Started</x:v>
      </x:c>
      <x:c r="F26" s="27" t="str"/>
      <x:c r="G26" s="46" t="str"/>
      <x:c r="H26" s="27" t="str">
        <x:v>File contents load into SQL editor</x:v>
      </x:c>
      <x:c r="I26" s="27" t="str"/>
      <x:c r="J26" s="27" t="str"/>
      <x:c r="K26" s="27" t="str"/>
      <x:c r="L26" s="27" t="str"/>
      <x:c r="M26" s="27" t="str"/>
    </x:row>
    <x:row r="27" ht="40" customHeight="1">
      <x:c r="A27" s="27" t="str">
        <x:v>UAT-026</x:v>
      </x:c>
      <x:c r="B27" s="27" t="str">
        <x:v>Execute .sql file</x:v>
      </x:c>
      <x:c r="C27" s="27" t="str">
        <x:v>SQL</x:v>
      </x:c>
      <x:c r="D27" s="27" t="str">
        <x:v>Verify loaded .sql execution</x:v>
      </x:c>
      <x:c r="E27" s="27" t="str">
        <x:v>Not Started</x:v>
      </x:c>
      <x:c r="F27" s="27" t="str"/>
      <x:c r="G27" s="46" t="str"/>
      <x:c r="H27" s="27" t="str">
        <x:v>All batches execute; errors shown per batch</x:v>
      </x:c>
      <x:c r="I27" s="27" t="str"/>
      <x:c r="J27" s="27" t="str"/>
      <x:c r="K27" s="27" t="str"/>
      <x:c r="L27" s="27" t="str"/>
      <x:c r="M27" s="27" t="str"/>
    </x:row>
    <x:row r="28" ht="40" customHeight="1">
      <x:c r="A28" s="27" t="str">
        <x:v>UAT-027</x:v>
      </x:c>
      <x:c r="B28" s="27" t="str">
        <x:v>SQL Stop/Cancel long query</x:v>
      </x:c>
      <x:c r="C28" s="27" t="str">
        <x:v>SQL</x:v>
      </x:c>
      <x:c r="D28" s="27" t="str">
        <x:v>Verify query cancellation</x:v>
      </x:c>
      <x:c r="E28" s="27" t="str">
        <x:v>Not Started</x:v>
      </x:c>
      <x:c r="F28" s="27" t="str"/>
      <x:c r="G28" s="46" t="str"/>
      <x:c r="H28" s="27" t="str">
        <x:v>Cancel requested; client remains responsive</x:v>
      </x:c>
      <x:c r="I28" s="27" t="str"/>
      <x:c r="J28" s="27" t="str"/>
      <x:c r="K28" s="27" t="str"/>
      <x:c r="L28" s="27" t="str"/>
      <x:c r="M28" s="27" t="str"/>
    </x:row>
    <x:row r="29" ht="40" customHeight="1">
      <x:c r="A29" s="27" t="str">
        <x:v>UAT-028</x:v>
      </x:c>
      <x:c r="B29" s="27" t="str">
        <x:v>SQL invalid query</x:v>
      </x:c>
      <x:c r="C29" s="27" t="str">
        <x:v>SQL</x:v>
      </x:c>
      <x:c r="D29" s="27" t="str">
        <x:v>Verify SQL error display</x:v>
      </x:c>
      <x:c r="E29" s="27" t="str">
        <x:v>Not Started</x:v>
      </x:c>
      <x:c r="F29" s="27" t="str"/>
      <x:c r="G29" s="46" t="str"/>
      <x:c r="H29" s="27" t="str">
        <x:v>Error is shown and dashboard/client do not crash</x:v>
      </x:c>
      <x:c r="I29" s="27" t="str"/>
      <x:c r="J29" s="27" t="str"/>
      <x:c r="K29" s="27" t="str"/>
      <x:c r="L29" s="27" t="str"/>
      <x:c r="M29" s="27" t="str"/>
    </x:row>
    <x:row r="30" ht="40" customHeight="1">
      <x:c r="A30" s="27" t="str">
        <x:v>UAT-029</x:v>
      </x:c>
      <x:c r="B30" s="27" t="str">
        <x:v>SQL wrong BOConnection credentials</x:v>
      </x:c>
      <x:c r="C30" s="27" t="str">
        <x:v>SQL</x:v>
      </x:c>
      <x:c r="D30" s="27" t="str">
        <x:v>Verify connection error handling</x:v>
      </x:c>
      <x:c r="E30" s="27" t="str">
        <x:v>Not Started</x:v>
      </x:c>
      <x:c r="F30" s="27" t="str"/>
      <x:c r="G30" s="46" t="str"/>
      <x:c r="H30" s="27" t="str">
        <x:v>Success=false and login/connection error displayed</x:v>
      </x:c>
      <x:c r="I30" s="27" t="str"/>
      <x:c r="J30" s="27" t="str"/>
      <x:c r="K30" s="27" t="str"/>
      <x:c r="L30" s="27" t="str"/>
      <x:c r="M30" s="27" t="str"/>
    </x:row>
    <x:row r="31" ht="40" customHeight="1">
      <x:c r="A31" s="27" t="str">
        <x:v>UAT-030</x:v>
      </x:c>
      <x:c r="B31" s="27" t="str">
        <x:v>SQL missing ODBC driver</x:v>
      </x:c>
      <x:c r="C31" s="27" t="str">
        <x:v>SQL</x:v>
      </x:c>
      <x:c r="D31" s="27" t="str">
        <x:v>Verify missing driver handling</x:v>
      </x:c>
      <x:c r="E31" s="27" t="str">
        <x:v>Not Started</x:v>
      </x:c>
      <x:c r="F31" s="27" t="str"/>
      <x:c r="G31" s="46" t="str"/>
      <x:c r="H31" s="27" t="str">
        <x:v>Clear no SQL Server ODBC driver error</x:v>
      </x:c>
      <x:c r="I31" s="27" t="str"/>
      <x:c r="J31" s="27" t="str"/>
      <x:c r="K31" s="27" t="str"/>
      <x:c r="L31" s="27" t="str"/>
      <x:c r="M31" s="27" t="str"/>
    </x:row>
    <x:row r="32" ht="40" customHeight="1">
      <x:c r="A32" s="27" t="str">
        <x:v>UAT-031</x:v>
      </x:c>
      <x:c r="B32" s="27" t="str">
        <x:v>Dashboard reconnect behavior</x:v>
      </x:c>
      <x:c r="C32" s="27" t="str">
        <x:v>Reliability</x:v>
      </x:c>
      <x:c r="D32" s="27" t="str">
        <x:v>Verify dashboard reconnect</x:v>
      </x:c>
      <x:c r="E32" s="27" t="str">
        <x:v>Not Started</x:v>
      </x:c>
      <x:c r="F32" s="27" t="str"/>
      <x:c r="G32" s="46" t="str"/>
      <x:c r="H32" s="27" t="str">
        <x:v>Dashboard reconnects and clients reload</x:v>
      </x:c>
      <x:c r="I32" s="27" t="str"/>
      <x:c r="J32" s="27" t="str"/>
      <x:c r="K32" s="27" t="str"/>
      <x:c r="L32" s="27" t="str"/>
      <x:c r="M32" s="27" t="str"/>
    </x:row>
    <x:row r="33" ht="40" customHeight="1">
      <x:c r="A33" s="27" t="str">
        <x:v>UAT-032</x:v>
      </x:c>
      <x:c r="B33" s="27" t="str">
        <x:v>Client reconnect behavior</x:v>
      </x:c>
      <x:c r="C33" s="27" t="str">
        <x:v>Reliability</x:v>
      </x:c>
      <x:c r="D33" s="27" t="str">
        <x:v>Verify client auto-reconnect</x:v>
      </x:c>
      <x:c r="E33" s="27" t="str">
        <x:v>Not Started</x:v>
      </x:c>
      <x:c r="F33" s="27" t="str"/>
      <x:c r="G33" s="46" t="str"/>
      <x:c r="H33" s="27" t="str">
        <x:v>Same client_code reconnects; display_name preserved</x:v>
      </x:c>
      <x:c r="I33" s="27" t="str"/>
      <x:c r="J33" s="27" t="str"/>
      <x:c r="K33" s="27" t="str"/>
      <x:c r="L33" s="27" t="str"/>
      <x:c r="M33" s="27" t="str"/>
    </x:row>
    <x:row r="34" ht="40" customHeight="1">
      <x:c r="A34" s="27" t="str">
        <x:v>UAT-033</x:v>
      </x:c>
      <x:c r="B34" s="27" t="str">
        <x:v>Multiple clients</x:v>
      </x:c>
      <x:c r="C34" s="27" t="str">
        <x:v>Reliability</x:v>
      </x:c>
      <x:c r="D34" s="27" t="str">
        <x:v>Verify correct routing for multiple clients</x:v>
      </x:c>
      <x:c r="E34" s="27" t="str">
        <x:v>Not Started</x:v>
      </x:c>
      <x:c r="F34" s="27" t="str"/>
      <x:c r="G34" s="46" t="str"/>
      <x:c r="H34" s="27" t="str">
        <x:v>Results go to correct client window</x:v>
      </x:c>
      <x:c r="I34" s="27" t="str"/>
      <x:c r="J34" s="27" t="str"/>
      <x:c r="K34" s="27" t="str"/>
      <x:c r="L34" s="27" t="str"/>
      <x:c r="M34" s="27" t="str"/>
    </x:row>
    <x:row r="35" ht="40" customHeight="1">
      <x:c r="A35" s="27" t="str">
        <x:v>UAT-034</x:v>
      </x:c>
      <x:c r="B35" s="27" t="str">
        <x:v>Multiple dashboards</x:v>
      </x:c>
      <x:c r="C35" s="27" t="str">
        <x:v>Reliability</x:v>
      </x:c>
      <x:c r="D35" s="27" t="str">
        <x:v>Verify multiple dashboard sync</x:v>
      </x:c>
      <x:c r="E35" s="27" t="str">
        <x:v>Not Started</x:v>
      </x:c>
      <x:c r="F35" s="27" t="str"/>
      <x:c r="G35" s="46" t="str"/>
      <x:c r="H35" s="27" t="str">
        <x:v>Both dashboards update client list</x:v>
      </x:c>
      <x:c r="I35" s="27" t="str"/>
      <x:c r="J35" s="27" t="str"/>
      <x:c r="K35" s="27" t="str"/>
      <x:c r="L35" s="27" t="str"/>
      <x:c r="M35" s="27" t="str"/>
    </x:row>
    <x:row r="36" ht="40" customHeight="1">
      <x:c r="A36" s="27" t="str">
        <x:v>UAT-035</x:v>
      </x:c>
      <x:c r="B36" s="27" t="str">
        <x:v>AppSettings refresh after client reconnect</x:v>
      </x:c>
      <x:c r="C36" s="27" t="str">
        <x:v>AppSettings</x:v>
      </x:c>
      <x:c r="D36" s="27" t="str">
        <x:v>Verify appsettings refresh on reconnect</x:v>
      </x:c>
      <x:c r="E36" s="27" t="str">
        <x:v>Not Started</x:v>
      </x:c>
      <x:c r="F36" s="27" t="str"/>
      <x:c r="G36" s="46" t="str"/>
      <x:c r="H36" s="27" t="str">
        <x:v>Updated appsettings saved and displayed</x:v>
      </x:c>
      <x:c r="I36" s="27" t="str"/>
      <x:c r="J36" s="27" t="str"/>
      <x:c r="K36" s="27" t="str"/>
      <x:c r="L36" s="27" t="str"/>
      <x:c r="M36" s="27" t="str"/>
    </x:row>
  </x:sheetData>
  <x:conditionalFormatting sqref="E2:E36">
    <x:cfRule type="expression" dxfId="0" priority="1">
      <x:formula>C2="Pass"</x:formula>
    </x:cfRule>
    <x:cfRule type="expression" dxfId="3" priority="2">
      <x:formula>$E2="Pass"</x:formula>
    </x:cfRule>
    <x:cfRule type="expression" dxfId="4" priority="3">
      <x:formula>$E2="Fail"</x:formula>
    </x:cfRule>
    <x:cfRule type="expression" dxfId="5" priority="4">
      <x:formula>$E2="Blocked"</x:formula>
    </x:cfRule>
    <x:cfRule type="expression" dxfId="6" priority="5">
      <x:formula>$E2="Retest"</x:formula>
    </x:cfRule>
    <x:cfRule type="expression" dxfId="7" priority="6">
      <x:formula>$E2="Not Started"</x:formula>
    </x:cfRule>
  </x:conditionalFormatting>
  <x:dataValidations count="1">
    <x:dataValidation type="list" sqref="E2:E36">
      <x:formula1>Lists!$A$2:$A$7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f2017b33d246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14" hidden="0" customWidth="1"/>
    <x:col min="4" max="4" width="16" hidden="0" customWidth="1"/>
    <x:col min="5" max="5" width="14" hidden="0" customWidth="1"/>
    <x:col min="6" max="6" width="24" hidden="0" customWidth="1"/>
    <x:col min="7" max="7" width="34" hidden="0" customWidth="1"/>
    <x:col min="8" max="8" width="38" hidden="0" customWidth="1"/>
    <x:col min="9" max="9" width="28" hidden="0" customWidth="1"/>
    <x:col min="10" max="10" width="24" hidden="0" customWidth="1"/>
    <x:col min="11" max="11" width="34" hidden="0" customWidth="1"/>
  </x:cols>
  <x:sheetData>
    <x:row r="1" ht="30" customHeight="1">
      <x:c r="A1" s="40" t="str">
        <x:v>UAT ID</x:v>
      </x:c>
      <x:c r="B1" s="40" t="str">
        <x:v>Feature</x:v>
      </x:c>
      <x:c r="C1" s="40" t="str">
        <x:v>Status</x:v>
      </x:c>
      <x:c r="D1" s="40" t="str">
        <x:v>Tester</x:v>
      </x:c>
      <x:c r="E1" s="40" t="str">
        <x:v>Date</x:v>
      </x:c>
      <x:c r="F1" s="40" t="str">
        <x:v>Environment</x:v>
      </x:c>
      <x:c r="G1" s="40" t="str">
        <x:v>Evidence / Screenshot / Log</x:v>
      </x:c>
      <x:c r="H1" s="40" t="str">
        <x:v>Actual Result</x:v>
      </x:c>
      <x:c r="I1" s="40" t="str">
        <x:v>Defects Found</x:v>
      </x:c>
      <x:c r="J1" s="40" t="str">
        <x:v>Retest Result</x:v>
      </x:c>
      <x:c r="K1" s="40" t="str">
        <x:v>Final Notes</x:v>
      </x:c>
    </x:row>
    <x:row r="2" ht="54" customHeight="1">
      <x:c r="A2" s="27" t="str">
        <x:v>UAT-001</x:v>
      </x:c>
      <x:c r="B2" s="27" t="str">
        <x:v>Render server starts successfully</x:v>
      </x:c>
      <x:c r="C2" s="27" t="str">
        <x:v>Not Started</x:v>
      </x:c>
      <x:c r="D2" s="27" t="str"/>
      <x:c r="E2" s="46" t="str"/>
      <x:c r="F2" s="27" t="str"/>
      <x:c r="G2" s="27" t="str"/>
      <x:c r="H2" s="27" t="str"/>
      <x:c r="I2" s="27" t="str"/>
      <x:c r="J2" s="27" t="str"/>
      <x:c r="K2" s="27" t="str"/>
    </x:row>
    <x:row r="3" ht="54" customHeight="1">
      <x:c r="A3" s="27" t="str">
        <x:v>UAT-002</x:v>
      </x:c>
      <x:c r="B3" s="27" t="str">
        <x:v>Server rejects missing/invalid dashboard token</x:v>
      </x:c>
      <x:c r="C3" s="27" t="str">
        <x:v>Not Started</x:v>
      </x:c>
      <x:c r="D3" s="27" t="str"/>
      <x:c r="E3" s="46" t="str"/>
      <x:c r="F3" s="27" t="str"/>
      <x:c r="G3" s="27" t="str"/>
      <x:c r="H3" s="27" t="str"/>
      <x:c r="I3" s="27" t="str"/>
      <x:c r="J3" s="27" t="str"/>
      <x:c r="K3" s="27" t="str"/>
    </x:row>
    <x:row r="4" ht="54" customHeight="1">
      <x:c r="A4" s="27" t="str">
        <x:v>UAT-003</x:v>
      </x:c>
      <x:c r="B4" s="27" t="str">
        <x:v>Client connects to Render server</x:v>
      </x:c>
      <x:c r="C4" s="27" t="str">
        <x:v>Not Started</x:v>
      </x:c>
      <x:c r="D4" s="27" t="str"/>
      <x:c r="E4" s="46" t="str"/>
      <x:c r="F4" s="27" t="str"/>
      <x:c r="G4" s="27" t="str"/>
      <x:c r="H4" s="27" t="str"/>
      <x:c r="I4" s="27" t="str"/>
      <x:c r="J4" s="27" t="str"/>
      <x:c r="K4" s="27" t="str"/>
    </x:row>
    <x:row r="5" ht="54" customHeight="1">
      <x:c r="A5" s="27" t="str">
        <x:v>UAT-004</x:v>
      </x:c>
      <x:c r="B5" s="27" t="str">
        <x:v>Client is saved in Supabase</x:v>
      </x:c>
      <x:c r="C5" s="27" t="str">
        <x:v>Not Started</x:v>
      </x:c>
      <x:c r="D5" s="27" t="str"/>
      <x:c r="E5" s="46" t="str"/>
      <x:c r="F5" s="27" t="str"/>
      <x:c r="G5" s="27" t="str"/>
      <x:c r="H5" s="27" t="str"/>
      <x:c r="I5" s="27" t="str"/>
      <x:c r="J5" s="27" t="str"/>
      <x:c r="K5" s="27" t="str"/>
    </x:row>
    <x:row r="6" ht="54" customHeight="1">
      <x:c r="A6" s="27" t="str">
        <x:v>UAT-005</x:v>
      </x:c>
      <x:c r="B6" s="27" t="str">
        <x:v>Dashboard displays client list</x:v>
      </x:c>
      <x:c r="C6" s="27" t="str">
        <x:v>Not Started</x:v>
      </x:c>
      <x:c r="D6" s="27" t="str"/>
      <x:c r="E6" s="46" t="str"/>
      <x:c r="F6" s="27" t="str"/>
      <x:c r="G6" s="27" t="str"/>
      <x:c r="H6" s="27" t="str"/>
      <x:c r="I6" s="27" t="str"/>
      <x:c r="J6" s="27" t="str"/>
      <x:c r="K6" s="27" t="str"/>
    </x:row>
    <x:row r="7" ht="54" customHeight="1">
      <x:c r="A7" s="27" t="str">
        <x:v>UAT-006</x:v>
      </x:c>
      <x:c r="B7" s="27" t="str">
        <x:v>Client goes offline after closing client</x:v>
      </x:c>
      <x:c r="C7" s="27" t="str">
        <x:v>Not Started</x:v>
      </x:c>
      <x:c r="D7" s="27" t="str"/>
      <x:c r="E7" s="46" t="str"/>
      <x:c r="F7" s="27" t="str"/>
      <x:c r="G7" s="27" t="str"/>
      <x:c r="H7" s="27" t="str"/>
      <x:c r="I7" s="27" t="str"/>
      <x:c r="J7" s="27" t="str"/>
      <x:c r="K7" s="27" t="str"/>
    </x:row>
    <x:row r="8" ht="54" customHeight="1">
      <x:c r="A8" s="27" t="str">
        <x:v>UAT-007</x:v>
      </x:c>
      <x:c r="B8" s="27" t="str">
        <x:v>Heartbeat updates online client</x:v>
      </x:c>
      <x:c r="C8" s="27" t="str">
        <x:v>Not Started</x:v>
      </x:c>
      <x:c r="D8" s="27" t="str"/>
      <x:c r="E8" s="46" t="str"/>
      <x:c r="F8" s="27" t="str"/>
      <x:c r="G8" s="27" t="str"/>
      <x:c r="H8" s="27" t="str"/>
      <x:c r="I8" s="27" t="str"/>
      <x:c r="J8" s="27" t="str"/>
      <x:c r="K8" s="27" t="str"/>
    </x:row>
    <x:row r="9" ht="54" customHeight="1">
      <x:c r="A9" s="27" t="str">
        <x:v>UAT-008</x:v>
      </x:c>
      <x:c r="B9" s="27" t="str">
        <x:v>Rename client from Manage</x:v>
      </x:c>
      <x:c r="C9" s="27" t="str">
        <x:v>Not Started</x:v>
      </x:c>
      <x:c r="D9" s="27" t="str"/>
      <x:c r="E9" s="46" t="str"/>
      <x:c r="F9" s="27" t="str"/>
      <x:c r="G9" s="27" t="str"/>
      <x:c r="H9" s="27" t="str"/>
      <x:c r="I9" s="27" t="str"/>
      <x:c r="J9" s="27" t="str"/>
      <x:c r="K9" s="27" t="str"/>
    </x:row>
    <x:row r="10" ht="54" customHeight="1">
      <x:c r="A10" s="27" t="str">
        <x:v>UAT-009</x:v>
      </x:c>
      <x:c r="B10" s="27" t="str">
        <x:v>Manage window opens per client</x:v>
      </x:c>
      <x:c r="C10" s="27" t="str">
        <x:v>Not Started</x:v>
      </x:c>
      <x:c r="D10" s="27" t="str"/>
      <x:c r="E10" s="46" t="str"/>
      <x:c r="F10" s="27" t="str"/>
      <x:c r="G10" s="27" t="str"/>
      <x:c r="H10" s="27" t="str"/>
      <x:c r="I10" s="27" t="str"/>
      <x:c r="J10" s="27" t="str"/>
      <x:c r="K10" s="27" t="str"/>
    </x:row>
    <x:row r="11" ht="54" customHeight="1">
      <x:c r="A11" s="27" t="str">
        <x:v>UAT-010</x:v>
      </x:c>
      <x:c r="B11" s="27" t="str">
        <x:v>CMD terminal command execution</x:v>
      </x:c>
      <x:c r="C11" s="27" t="str">
        <x:v>Not Started</x:v>
      </x:c>
      <x:c r="D11" s="27" t="str"/>
      <x:c r="E11" s="46" t="str"/>
      <x:c r="F11" s="27" t="str"/>
      <x:c r="G11" s="27" t="str"/>
      <x:c r="H11" s="27" t="str"/>
      <x:c r="I11" s="27" t="str"/>
      <x:c r="J11" s="27" t="str"/>
      <x:c r="K11" s="27" t="str"/>
    </x:row>
    <x:row r="12" ht="54" customHeight="1">
      <x:c r="A12" s="27" t="str">
        <x:v>UAT-011</x:v>
      </x:c>
      <x:c r="B12" s="27" t="str">
        <x:v>PowerShell command execution</x:v>
      </x:c>
      <x:c r="C12" s="27" t="str">
        <x:v>Not Started</x:v>
      </x:c>
      <x:c r="D12" s="27" t="str"/>
      <x:c r="E12" s="46" t="str"/>
      <x:c r="F12" s="27" t="str"/>
      <x:c r="G12" s="27" t="str"/>
      <x:c r="H12" s="27" t="str"/>
      <x:c r="I12" s="27" t="str"/>
      <x:c r="J12" s="27" t="str"/>
      <x:c r="K12" s="27" t="str"/>
    </x:row>
    <x:row r="13" ht="54" customHeight="1">
      <x:c r="A13" s="27" t="str">
        <x:v>UAT-012</x:v>
      </x:c>
      <x:c r="B13" s="27" t="str">
        <x:v>Persistent terminal current directory</x:v>
      </x:c>
      <x:c r="C13" s="27" t="str">
        <x:v>Not Started</x:v>
      </x:c>
      <x:c r="D13" s="27" t="str"/>
      <x:c r="E13" s="46" t="str"/>
      <x:c r="F13" s="27" t="str"/>
      <x:c r="G13" s="27" t="str"/>
      <x:c r="H13" s="27" t="str"/>
      <x:c r="I13" s="27" t="str"/>
      <x:c r="J13" s="27" t="str"/>
      <x:c r="K13" s="27" t="str"/>
    </x:row>
    <x:row r="14" ht="54" customHeight="1">
      <x:c r="A14" s="27" t="str">
        <x:v>UAT-013</x:v>
      </x:c>
      <x:c r="B14" s="27" t="str">
        <x:v>Terminal command history</x:v>
      </x:c>
      <x:c r="C14" s="27" t="str">
        <x:v>Not Started</x:v>
      </x:c>
      <x:c r="D14" s="27" t="str"/>
      <x:c r="E14" s="46" t="str"/>
      <x:c r="F14" s="27" t="str"/>
      <x:c r="G14" s="27" t="str"/>
      <x:c r="H14" s="27" t="str"/>
      <x:c r="I14" s="27" t="str"/>
      <x:c r="J14" s="27" t="str"/>
      <x:c r="K14" s="27" t="str"/>
    </x:row>
    <x:row r="15" ht="54" customHeight="1">
      <x:c r="A15" s="27" t="str">
        <x:v>UAT-014</x:v>
      </x:c>
      <x:c r="B15" s="27" t="str">
        <x:v>Terminal Tab autocomplete basic</x:v>
      </x:c>
      <x:c r="C15" s="27" t="str">
        <x:v>Not Started</x:v>
      </x:c>
      <x:c r="D15" s="27" t="str"/>
      <x:c r="E15" s="46" t="str"/>
      <x:c r="F15" s="27" t="str"/>
      <x:c r="G15" s="27" t="str"/>
      <x:c r="H15" s="27" t="str"/>
      <x:c r="I15" s="27" t="str"/>
      <x:c r="J15" s="27" t="str"/>
      <x:c r="K15" s="27" t="str"/>
    </x:row>
    <x:row r="16" ht="54" customHeight="1">
      <x:c r="A16" s="27" t="str">
        <x:v>UAT-015</x:v>
      </x:c>
      <x:c r="B16" s="27" t="str">
        <x:v>Terminal Tab autocomplete with command prefix</x:v>
      </x:c>
      <x:c r="C16" s="27" t="str">
        <x:v>Not Started</x:v>
      </x:c>
      <x:c r="D16" s="27" t="str"/>
      <x:c r="E16" s="46" t="str"/>
      <x:c r="F16" s="27" t="str"/>
      <x:c r="G16" s="27" t="str"/>
      <x:c r="H16" s="27" t="str"/>
      <x:c r="I16" s="27" t="str"/>
      <x:c r="J16" s="27" t="str"/>
      <x:c r="K16" s="27" t="str"/>
    </x:row>
    <x:row r="17" ht="54" customHeight="1">
      <x:c r="A17" s="27" t="str">
        <x:v>UAT-016</x:v>
      </x:c>
      <x:c r="B17" s="27" t="str">
        <x:v>AppSettings auto-read on client connect</x:v>
      </x:c>
      <x:c r="C17" s="27" t="str">
        <x:v>Not Started</x:v>
      </x:c>
      <x:c r="D17" s="27" t="str"/>
      <x:c r="E17" s="46" t="str"/>
      <x:c r="F17" s="27" t="str"/>
      <x:c r="G17" s="27" t="str"/>
      <x:c r="H17" s="27" t="str"/>
      <x:c r="I17" s="27" t="str"/>
      <x:c r="J17" s="27" t="str"/>
      <x:c r="K17" s="27" t="str"/>
    </x:row>
    <x:row r="18" ht="54" customHeight="1">
      <x:c r="A18" s="27" t="str">
        <x:v>UAT-017</x:v>
      </x:c>
      <x:c r="B18" s="27" t="str">
        <x:v>AppSettings missing file</x:v>
      </x:c>
      <x:c r="C18" s="27" t="str">
        <x:v>Not Started</x:v>
      </x:c>
      <x:c r="D18" s="27" t="str"/>
      <x:c r="E18" s="46" t="str"/>
      <x:c r="F18" s="27" t="str"/>
      <x:c r="G18" s="27" t="str"/>
      <x:c r="H18" s="27" t="str"/>
      <x:c r="I18" s="27" t="str"/>
      <x:c r="J18" s="27" t="str"/>
      <x:c r="K18" s="27" t="str"/>
    </x:row>
    <x:row r="19" ht="54" customHeight="1">
      <x:c r="A19" s="27" t="str">
        <x:v>UAT-018</x:v>
      </x:c>
      <x:c r="B19" s="27" t="str">
        <x:v>AppSettings tab displays BOConnections</x:v>
      </x:c>
      <x:c r="C19" s="27" t="str">
        <x:v>Not Started</x:v>
      </x:c>
      <x:c r="D19" s="27" t="str"/>
      <x:c r="E19" s="46" t="str"/>
      <x:c r="F19" s="27" t="str"/>
      <x:c r="G19" s="27" t="str"/>
      <x:c r="H19" s="27" t="str"/>
      <x:c r="I19" s="27" t="str"/>
      <x:c r="J19" s="27" t="str"/>
      <x:c r="K19" s="27" t="str"/>
    </x:row>
    <x:row r="20" ht="54" customHeight="1">
      <x:c r="A20" s="27" t="str">
        <x:v>UAT-019</x:v>
      </x:c>
      <x:c r="B20" s="27" t="str">
        <x:v>SQL Test Connection default BOConnection ID 1</x:v>
      </x:c>
      <x:c r="C20" s="27" t="str">
        <x:v>Not Started</x:v>
      </x:c>
      <x:c r="D20" s="27" t="str"/>
      <x:c r="E20" s="46" t="str"/>
      <x:c r="F20" s="27" t="str"/>
      <x:c r="G20" s="27" t="str"/>
      <x:c r="H20" s="27" t="str"/>
      <x:c r="I20" s="27" t="str"/>
      <x:c r="J20" s="27" t="str"/>
      <x:c r="K20" s="27" t="str"/>
    </x:row>
    <x:row r="21" ht="54" customHeight="1">
      <x:c r="A21" s="27" t="str">
        <x:v>UAT-020</x:v>
      </x:c>
      <x:c r="B21" s="27" t="str">
        <x:v>SQL Test Connection other BOConnection ID</x:v>
      </x:c>
      <x:c r="C21" s="27" t="str">
        <x:v>Not Started</x:v>
      </x:c>
      <x:c r="D21" s="27" t="str"/>
      <x:c r="E21" s="46" t="str"/>
      <x:c r="F21" s="27" t="str"/>
      <x:c r="G21" s="27" t="str"/>
      <x:c r="H21" s="27" t="str"/>
      <x:c r="I21" s="27" t="str"/>
      <x:c r="J21" s="27" t="str"/>
      <x:c r="K21" s="27" t="str"/>
    </x:row>
    <x:row r="22" ht="54" customHeight="1">
      <x:c r="A22" s="27" t="str">
        <x:v>UAT-021</x:v>
      </x:c>
      <x:c r="B22" s="27" t="str">
        <x:v>SQL SELECT query execution</x:v>
      </x:c>
      <x:c r="C22" s="27" t="str">
        <x:v>Not Started</x:v>
      </x:c>
      <x:c r="D22" s="27" t="str"/>
      <x:c r="E22" s="46" t="str"/>
      <x:c r="F22" s="27" t="str"/>
      <x:c r="G22" s="27" t="str"/>
      <x:c r="H22" s="27" t="str"/>
      <x:c r="I22" s="27" t="str"/>
      <x:c r="J22" s="27" t="str"/>
      <x:c r="K22" s="27" t="str"/>
    </x:row>
    <x:row r="23" ht="54" customHeight="1">
      <x:c r="A23" s="27" t="str">
        <x:v>UAT-022</x:v>
      </x:c>
      <x:c r="B23" s="27" t="str">
        <x:v>SQL INFORMATION_SCHEMA query</x:v>
      </x:c>
      <x:c r="C23" s="27" t="str">
        <x:v>Not Started</x:v>
      </x:c>
      <x:c r="D23" s="27" t="str"/>
      <x:c r="E23" s="46" t="str"/>
      <x:c r="F23" s="27" t="str"/>
      <x:c r="G23" s="27" t="str"/>
      <x:c r="H23" s="27" t="str"/>
      <x:c r="I23" s="27" t="str"/>
      <x:c r="J23" s="27" t="str"/>
      <x:c r="K23" s="27" t="str"/>
    </x:row>
    <x:row r="24" ht="54" customHeight="1">
      <x:c r="A24" s="27" t="str">
        <x:v>UAT-023</x:v>
      </x:c>
      <x:c r="B24" s="27" t="str">
        <x:v>SQL multiple result sets</x:v>
      </x:c>
      <x:c r="C24" s="27" t="str">
        <x:v>Not Started</x:v>
      </x:c>
      <x:c r="D24" s="27" t="str"/>
      <x:c r="E24" s="46" t="str"/>
      <x:c r="F24" s="27" t="str"/>
      <x:c r="G24" s="27" t="str"/>
      <x:c r="H24" s="27" t="str"/>
      <x:c r="I24" s="27" t="str"/>
      <x:c r="J24" s="27" t="str"/>
      <x:c r="K24" s="27" t="str"/>
    </x:row>
    <x:row r="25" ht="54" customHeight="1">
      <x:c r="A25" s="27" t="str">
        <x:v>UAT-024</x:v>
      </x:c>
      <x:c r="B25" s="27" t="str">
        <x:v>SQL GO batch execution</x:v>
      </x:c>
      <x:c r="C25" s="27" t="str">
        <x:v>Not Started</x:v>
      </x:c>
      <x:c r="D25" s="27" t="str"/>
      <x:c r="E25" s="46" t="str"/>
      <x:c r="F25" s="27" t="str"/>
      <x:c r="G25" s="27" t="str"/>
      <x:c r="H25" s="27" t="str"/>
      <x:c r="I25" s="27" t="str"/>
      <x:c r="J25" s="27" t="str"/>
      <x:c r="K25" s="27" t="str"/>
    </x:row>
    <x:row r="26" ht="54" customHeight="1">
      <x:c r="A26" s="27" t="str">
        <x:v>UAT-025</x:v>
      </x:c>
      <x:c r="B26" s="27" t="str">
        <x:v>Load .sql file</x:v>
      </x:c>
      <x:c r="C26" s="27" t="str">
        <x:v>Not Started</x:v>
      </x:c>
      <x:c r="D26" s="27" t="str"/>
      <x:c r="E26" s="46" t="str"/>
      <x:c r="F26" s="27" t="str"/>
      <x:c r="G26" s="27" t="str"/>
      <x:c r="H26" s="27" t="str"/>
      <x:c r="I26" s="27" t="str"/>
      <x:c r="J26" s="27" t="str"/>
      <x:c r="K26" s="27" t="str"/>
    </x:row>
    <x:row r="27" ht="54" customHeight="1">
      <x:c r="A27" s="27" t="str">
        <x:v>UAT-026</x:v>
      </x:c>
      <x:c r="B27" s="27" t="str">
        <x:v>Execute .sql file</x:v>
      </x:c>
      <x:c r="C27" s="27" t="str">
        <x:v>Not Started</x:v>
      </x:c>
      <x:c r="D27" s="27" t="str"/>
      <x:c r="E27" s="46" t="str"/>
      <x:c r="F27" s="27" t="str"/>
      <x:c r="G27" s="27" t="str"/>
      <x:c r="H27" s="27" t="str"/>
      <x:c r="I27" s="27" t="str"/>
      <x:c r="J27" s="27" t="str"/>
      <x:c r="K27" s="27" t="str"/>
    </x:row>
    <x:row r="28" ht="54" customHeight="1">
      <x:c r="A28" s="27" t="str">
        <x:v>UAT-027</x:v>
      </x:c>
      <x:c r="B28" s="27" t="str">
        <x:v>SQL Stop/Cancel long query</x:v>
      </x:c>
      <x:c r="C28" s="27" t="str">
        <x:v>Not Started</x:v>
      </x:c>
      <x:c r="D28" s="27" t="str"/>
      <x:c r="E28" s="46" t="str"/>
      <x:c r="F28" s="27" t="str"/>
      <x:c r="G28" s="27" t="str"/>
      <x:c r="H28" s="27" t="str"/>
      <x:c r="I28" s="27" t="str"/>
      <x:c r="J28" s="27" t="str"/>
      <x:c r="K28" s="27" t="str"/>
    </x:row>
    <x:row r="29" ht="54" customHeight="1">
      <x:c r="A29" s="27" t="str">
        <x:v>UAT-028</x:v>
      </x:c>
      <x:c r="B29" s="27" t="str">
        <x:v>SQL invalid query</x:v>
      </x:c>
      <x:c r="C29" s="27" t="str">
        <x:v>Not Started</x:v>
      </x:c>
      <x:c r="D29" s="27" t="str"/>
      <x:c r="E29" s="46" t="str"/>
      <x:c r="F29" s="27" t="str"/>
      <x:c r="G29" s="27" t="str"/>
      <x:c r="H29" s="27" t="str"/>
      <x:c r="I29" s="27" t="str"/>
      <x:c r="J29" s="27" t="str"/>
      <x:c r="K29" s="27" t="str"/>
    </x:row>
    <x:row r="30" ht="54" customHeight="1">
      <x:c r="A30" s="27" t="str">
        <x:v>UAT-029</x:v>
      </x:c>
      <x:c r="B30" s="27" t="str">
        <x:v>SQL wrong BOConnection credentials</x:v>
      </x:c>
      <x:c r="C30" s="27" t="str">
        <x:v>Not Started</x:v>
      </x:c>
      <x:c r="D30" s="27" t="str"/>
      <x:c r="E30" s="46" t="str"/>
      <x:c r="F30" s="27" t="str"/>
      <x:c r="G30" s="27" t="str"/>
      <x:c r="H30" s="27" t="str"/>
      <x:c r="I30" s="27" t="str"/>
      <x:c r="J30" s="27" t="str"/>
      <x:c r="K30" s="27" t="str"/>
    </x:row>
    <x:row r="31" ht="54" customHeight="1">
      <x:c r="A31" s="27" t="str">
        <x:v>UAT-030</x:v>
      </x:c>
      <x:c r="B31" s="27" t="str">
        <x:v>SQL missing ODBC driver</x:v>
      </x:c>
      <x:c r="C31" s="27" t="str">
        <x:v>Not Started</x:v>
      </x:c>
      <x:c r="D31" s="27" t="str"/>
      <x:c r="E31" s="46" t="str"/>
      <x:c r="F31" s="27" t="str"/>
      <x:c r="G31" s="27" t="str"/>
      <x:c r="H31" s="27" t="str"/>
      <x:c r="I31" s="27" t="str"/>
      <x:c r="J31" s="27" t="str"/>
      <x:c r="K31" s="27" t="str"/>
    </x:row>
    <x:row r="32" ht="54" customHeight="1">
      <x:c r="A32" s="27" t="str">
        <x:v>UAT-031</x:v>
      </x:c>
      <x:c r="B32" s="27" t="str">
        <x:v>Dashboard reconnect behavior</x:v>
      </x:c>
      <x:c r="C32" s="27" t="str">
        <x:v>Not Started</x:v>
      </x:c>
      <x:c r="D32" s="27" t="str"/>
      <x:c r="E32" s="46" t="str"/>
      <x:c r="F32" s="27" t="str"/>
      <x:c r="G32" s="27" t="str"/>
      <x:c r="H32" s="27" t="str"/>
      <x:c r="I32" s="27" t="str"/>
      <x:c r="J32" s="27" t="str"/>
      <x:c r="K32" s="27" t="str"/>
    </x:row>
    <x:row r="33" ht="54" customHeight="1">
      <x:c r="A33" s="27" t="str">
        <x:v>UAT-032</x:v>
      </x:c>
      <x:c r="B33" s="27" t="str">
        <x:v>Client reconnect behavior</x:v>
      </x:c>
      <x:c r="C33" s="27" t="str">
        <x:v>Not Started</x:v>
      </x:c>
      <x:c r="D33" s="27" t="str"/>
      <x:c r="E33" s="46" t="str"/>
      <x:c r="F33" s="27" t="str"/>
      <x:c r="G33" s="27" t="str"/>
      <x:c r="H33" s="27" t="str"/>
      <x:c r="I33" s="27" t="str"/>
      <x:c r="J33" s="27" t="str"/>
      <x:c r="K33" s="27" t="str"/>
    </x:row>
    <x:row r="34" ht="54" customHeight="1">
      <x:c r="A34" s="27" t="str">
        <x:v>UAT-033</x:v>
      </x:c>
      <x:c r="B34" s="27" t="str">
        <x:v>Multiple clients</x:v>
      </x:c>
      <x:c r="C34" s="27" t="str">
        <x:v>Not Started</x:v>
      </x:c>
      <x:c r="D34" s="27" t="str"/>
      <x:c r="E34" s="46" t="str"/>
      <x:c r="F34" s="27" t="str"/>
      <x:c r="G34" s="27" t="str"/>
      <x:c r="H34" s="27" t="str"/>
      <x:c r="I34" s="27" t="str"/>
      <x:c r="J34" s="27" t="str"/>
      <x:c r="K34" s="27" t="str"/>
    </x:row>
    <x:row r="35" ht="54" customHeight="1">
      <x:c r="A35" s="27" t="str">
        <x:v>UAT-034</x:v>
      </x:c>
      <x:c r="B35" s="27" t="str">
        <x:v>Multiple dashboards</x:v>
      </x:c>
      <x:c r="C35" s="27" t="str">
        <x:v>Not Started</x:v>
      </x:c>
      <x:c r="D35" s="27" t="str"/>
      <x:c r="E35" s="46" t="str"/>
      <x:c r="F35" s="27" t="str"/>
      <x:c r="G35" s="27" t="str"/>
      <x:c r="H35" s="27" t="str"/>
      <x:c r="I35" s="27" t="str"/>
      <x:c r="J35" s="27" t="str"/>
      <x:c r="K35" s="27" t="str"/>
    </x:row>
    <x:row r="36" ht="54" customHeight="1">
      <x:c r="A36" s="27" t="str">
        <x:v>UAT-035</x:v>
      </x:c>
      <x:c r="B36" s="27" t="str">
        <x:v>AppSettings refresh after client reconnect</x:v>
      </x:c>
      <x:c r="C36" s="27" t="str">
        <x:v>Not Started</x:v>
      </x:c>
      <x:c r="D36" s="27" t="str"/>
      <x:c r="E36" s="46" t="str"/>
      <x:c r="F36" s="27" t="str"/>
      <x:c r="G36" s="27" t="str"/>
      <x:c r="H36" s="27" t="str"/>
      <x:c r="I36" s="27" t="str"/>
      <x:c r="J36" s="27" t="str"/>
      <x:c r="K36" s="27" t="str"/>
    </x:row>
  </x:sheetData>
  <x:conditionalFormatting sqref="C2:C36">
    <x:cfRule type="expression" dxfId="1" priority="1">
      <x:formula>C2="Pass"</x:formula>
    </x:cfRule>
    <x:cfRule type="expression" dxfId="8" priority="2">
      <x:formula>$C2="Pass"</x:formula>
    </x:cfRule>
    <x:cfRule type="expression" dxfId="9" priority="3">
      <x:formula>$C2="Fail"</x:formula>
    </x:cfRule>
    <x:cfRule type="expression" dxfId="10" priority="4">
      <x:formula>$C2="Blocked"</x:formula>
    </x:cfRule>
    <x:cfRule type="expression" dxfId="11" priority="5">
      <x:formula>$C2="Retest"</x:formula>
    </x:cfRule>
    <x:cfRule type="expression" dxfId="12" priority="6">
      <x:formula>$C2="Not Started"</x:formula>
    </x:cfRule>
  </x:conditionalFormatting>
  <x:dataValidations count="1">
    <x:dataValidation type="list" sqref="C2:C36">
      <x:formula1>Lists!$A$2:$A$7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6d638899d848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40" hidden="0" customWidth="1"/>
    <x:col min="6" max="6" width="42" hidden="0" customWidth="1"/>
    <x:col min="7" max="7" width="34" hidden="0" customWidth="1"/>
    <x:col min="8" max="8" width="34" hidden="0" customWidth="1"/>
    <x:col min="9" max="9" width="18" hidden="0" customWidth="1"/>
    <x:col min="10" max="10" width="24" hidden="0" customWidth="1"/>
    <x:col min="11" max="11" width="16" hidden="0" customWidth="1"/>
    <x:col min="12" max="12" width="14" hidden="0" customWidth="1"/>
    <x:col min="13" max="13" width="14" hidden="0" customWidth="1"/>
  </x:cols>
  <x:sheetData>
    <x:row r="1" ht="30" customHeight="1">
      <x:c r="A1" s="40" t="str">
        <x:v>Defect ID</x:v>
      </x:c>
      <x:c r="B1" s="40" t="str">
        <x:v>Related UAT</x:v>
      </x:c>
      <x:c r="C1" s="40" t="str">
        <x:v>Severity</x:v>
      </x:c>
      <x:c r="D1" s="40" t="str">
        <x:v>Status</x:v>
      </x:c>
      <x:c r="E1" s="40" t="str">
        <x:v>Description</x:v>
      </x:c>
      <x:c r="F1" s="40" t="str">
        <x:v>Steps To Reproduce</x:v>
      </x:c>
      <x:c r="G1" s="40" t="str">
        <x:v>Expected Result</x:v>
      </x:c>
      <x:c r="H1" s="40" t="str">
        <x:v>Actual Result</x:v>
      </x:c>
      <x:c r="I1" s="40" t="str">
        <x:v>Fix Commit</x:v>
      </x:c>
      <x:c r="J1" s="40" t="str">
        <x:v>Retest Result</x:v>
      </x:c>
      <x:c r="K1" s="40" t="str">
        <x:v>Owner</x:v>
      </x:c>
      <x:c r="L1" s="40" t="str">
        <x:v>Date Opened</x:v>
      </x:c>
      <x:c r="M1" s="40" t="str">
        <x:v>Date Closed</x:v>
      </x:c>
    </x:row>
    <x:row r="2" ht="42" customHeight="1">
      <x:c r="A2" s="27" t="str">
        <x:v>DEF-001</x:v>
      </x:c>
      <x:c r="B2" s="27" t="str"/>
      <x:c r="C2" s="27" t="str">
        <x:v>Medium</x:v>
      </x:c>
      <x:c r="D2" s="27" t="str">
        <x:v>Open</x:v>
      </x:c>
      <x:c r="E2" s="27" t="str"/>
      <x:c r="F2" s="27" t="str"/>
      <x:c r="G2" s="27" t="str"/>
      <x:c r="H2" s="27" t="str"/>
      <x:c r="I2" s="27" t="str"/>
      <x:c r="J2" s="27" t="str"/>
      <x:c r="K2" s="27" t="str"/>
      <x:c r="L2" s="46" t="str"/>
      <x:c r="M2" s="46" t="str"/>
    </x:row>
    <x:row r="3" ht="42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46"/>
      <x:c r="M3" s="46"/>
    </x:row>
    <x:row r="4" ht="42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46"/>
      <x:c r="M4" s="46"/>
    </x:row>
    <x:row r="5" ht="42" customHeight="1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46"/>
      <x:c r="M5" s="46"/>
    </x:row>
    <x:row r="6" ht="42" customHeight="1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46"/>
      <x:c r="M6" s="46"/>
    </x:row>
    <x:row r="7" ht="42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46"/>
      <x:c r="M7" s="46"/>
    </x:row>
    <x:row r="8" ht="42" customHeight="1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46"/>
      <x:c r="M8" s="46"/>
    </x:row>
    <x:row r="9" ht="42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46"/>
      <x:c r="M9" s="46"/>
    </x:row>
    <x:row r="10" ht="42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46"/>
      <x:c r="M10" s="46"/>
    </x:row>
    <x:row r="11" ht="42" customHeight="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46"/>
      <x:c r="M11" s="46"/>
    </x:row>
    <x:row r="12" ht="42" customHeight="1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46"/>
      <x:c r="M12" s="46"/>
    </x:row>
    <x:row r="13" ht="42" customHeight="1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46"/>
      <x:c r="M13" s="46"/>
    </x:row>
    <x:row r="14" ht="42" customHeight="1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46"/>
      <x:c r="M14" s="46"/>
    </x:row>
    <x:row r="15" ht="42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46"/>
      <x:c r="M15" s="46"/>
    </x:row>
    <x:row r="16" ht="4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46"/>
      <x:c r="M16" s="46"/>
    </x:row>
    <x:row r="17" ht="4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46"/>
      <x:c r="M17" s="46"/>
    </x:row>
    <x:row r="18" ht="4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46"/>
      <x:c r="M18" s="46"/>
    </x:row>
    <x:row r="19" ht="42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46"/>
      <x:c r="M19" s="46"/>
    </x:row>
    <x:row r="20" ht="42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46"/>
      <x:c r="M20" s="46"/>
    </x:row>
    <x:row r="21" ht="42" customHeight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46"/>
      <x:c r="M21" s="46"/>
    </x:row>
    <x:row r="22" ht="42" customHeight="1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46"/>
      <x:c r="M22" s="46"/>
    </x:row>
    <x:row r="23" ht="42" customHeight="1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46"/>
      <x:c r="M23" s="46"/>
    </x:row>
    <x:row r="24" ht="42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46"/>
      <x:c r="M24" s="46"/>
    </x:row>
    <x:row r="25" ht="42" customHeight="1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46"/>
      <x:c r="M25" s="46"/>
    </x:row>
    <x:row r="26" ht="42" customHeight="1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46"/>
      <x:c r="M26" s="46"/>
    </x:row>
    <x:row r="27" ht="42" customHeight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46"/>
      <x:c r="M27" s="46"/>
    </x:row>
    <x:row r="28" ht="42" customHeight="1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46"/>
      <x:c r="M28" s="46"/>
    </x:row>
    <x:row r="29" ht="42" customHeight="1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46"/>
      <x:c r="M29" s="46"/>
    </x:row>
    <x:row r="30" ht="42" customHeight="1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46"/>
      <x:c r="M30" s="46"/>
    </x:row>
    <x:row r="31" ht="42" customHeight="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46"/>
      <x:c r="M31" s="46"/>
    </x:row>
    <x:row r="32" ht="42" customHeight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46"/>
      <x:c r="M32" s="46"/>
    </x:row>
    <x:row r="33" ht="42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46"/>
      <x:c r="M33" s="46"/>
    </x:row>
    <x:row r="34" ht="42" customHeight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46"/>
      <x:c r="M34" s="46"/>
    </x:row>
    <x:row r="35" ht="42" customHeight="1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46"/>
      <x:c r="M35" s="46"/>
    </x:row>
    <x:row r="36" ht="42" customHeight="1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46"/>
      <x:c r="M36" s="46"/>
    </x:row>
    <x:row r="37" ht="42" customHeight="1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46"/>
      <x:c r="M37" s="46"/>
    </x:row>
    <x:row r="38" ht="42" customHeight="1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46"/>
      <x:c r="M38" s="46"/>
    </x:row>
    <x:row r="39" ht="42" customHeight="1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46"/>
      <x:c r="M39" s="46"/>
    </x:row>
    <x:row r="40" ht="42" customHeight="1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46"/>
      <x:c r="M40" s="46"/>
    </x:row>
    <x:row r="41" ht="42" customHeight="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46"/>
      <x:c r="M41" s="46"/>
    </x:row>
    <x:row r="42" ht="42" customHeight="1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46"/>
      <x:c r="M42" s="46"/>
    </x:row>
    <x:row r="43" ht="42" customHeight="1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46"/>
      <x:c r="M43" s="46"/>
    </x:row>
    <x:row r="44" ht="42" customHeight="1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46"/>
      <x:c r="M44" s="46"/>
    </x:row>
    <x:row r="45" ht="42" customHeight="1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46"/>
      <x:c r="M45" s="46"/>
    </x:row>
    <x:row r="46" ht="42" customHeight="1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46"/>
      <x:c r="M46" s="46"/>
    </x:row>
    <x:row r="47" ht="42" customHeight="1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46"/>
      <x:c r="M47" s="46"/>
    </x:row>
    <x:row r="48" ht="42" customHeight="1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46"/>
      <x:c r="M48" s="46"/>
    </x:row>
    <x:row r="49" ht="42" customHeight="1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46"/>
      <x:c r="M49" s="46"/>
    </x:row>
    <x:row r="50" ht="42" customHeight="1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46"/>
      <x:c r="M50" s="46"/>
    </x:row>
    <x:row r="51" ht="42" customHeight="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46"/>
      <x:c r="M51" s="46"/>
    </x:row>
    <x:row r="52" ht="42" customHeight="1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46"/>
      <x:c r="M52" s="46"/>
    </x:row>
    <x:row r="53" ht="42" customHeight="1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46"/>
      <x:c r="M53" s="46"/>
    </x:row>
    <x:row r="54" ht="42" customHeight="1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46"/>
      <x:c r="M54" s="46"/>
    </x:row>
    <x:row r="55" ht="42" customHeight="1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46"/>
      <x:c r="M55" s="46"/>
    </x:row>
    <x:row r="56" ht="42" customHeight="1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46"/>
      <x:c r="M56" s="46"/>
    </x:row>
    <x:row r="57" ht="42" customHeight="1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46"/>
      <x:c r="M57" s="46"/>
    </x:row>
    <x:row r="58" ht="42" customHeight="1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46"/>
      <x:c r="M58" s="46"/>
    </x:row>
    <x:row r="59" ht="42" customHeight="1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46"/>
      <x:c r="M59" s="46"/>
    </x:row>
    <x:row r="60" ht="42" customHeight="1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46"/>
      <x:c r="M60" s="46"/>
    </x:row>
    <x:row r="61" ht="42" customHeight="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46"/>
      <x:c r="M61" s="46"/>
    </x:row>
    <x:row r="62" ht="42" customHeight="1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46"/>
      <x:c r="M62" s="46"/>
    </x:row>
    <x:row r="63" ht="42" customHeight="1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46"/>
      <x:c r="M63" s="46"/>
    </x:row>
    <x:row r="64" ht="42" customHeight="1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46"/>
      <x:c r="M64" s="46"/>
    </x:row>
    <x:row r="65" ht="42" customHeight="1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46"/>
      <x:c r="M65" s="46"/>
    </x:row>
    <x:row r="66" ht="42" customHeight="1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46"/>
      <x:c r="M66" s="46"/>
    </x:row>
    <x:row r="67" ht="42" customHeight="1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46"/>
      <x:c r="M67" s="46"/>
    </x:row>
    <x:row r="68" ht="42" customHeight="1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46"/>
      <x:c r="M68" s="46"/>
    </x:row>
    <x:row r="69" ht="42" customHeight="1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46"/>
      <x:c r="M69" s="46"/>
    </x:row>
    <x:row r="70" ht="42" customHeight="1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46"/>
      <x:c r="M70" s="46"/>
    </x:row>
    <x:row r="71" ht="42" customHeight="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46"/>
      <x:c r="M71" s="46"/>
    </x:row>
    <x:row r="72" ht="42" customHeight="1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46"/>
      <x:c r="M72" s="46"/>
    </x:row>
    <x:row r="73" ht="42" customHeight="1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46"/>
      <x:c r="M73" s="46"/>
    </x:row>
    <x:row r="74" ht="42" customHeight="1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46"/>
      <x:c r="M74" s="46"/>
    </x:row>
    <x:row r="75" ht="42" customHeight="1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46"/>
      <x:c r="M75" s="46"/>
    </x:row>
    <x:row r="76" ht="42" customHeight="1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46"/>
      <x:c r="M76" s="46"/>
    </x:row>
    <x:row r="77" ht="42" customHeight="1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46"/>
      <x:c r="M77" s="46"/>
    </x:row>
    <x:row r="78" ht="42" customHeight="1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46"/>
      <x:c r="M78" s="46"/>
    </x:row>
    <x:row r="79" ht="42" customHeight="1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46"/>
      <x:c r="M79" s="46"/>
    </x:row>
    <x:row r="80" ht="42" customHeight="1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46"/>
      <x:c r="M80" s="46"/>
    </x:row>
    <x:row r="81" ht="42" customHeight="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46"/>
      <x:c r="M81" s="46"/>
    </x:row>
    <x:row r="82" ht="42" customHeight="1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46"/>
      <x:c r="M82" s="46"/>
    </x:row>
    <x:row r="83" ht="42" customHeight="1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46"/>
      <x:c r="M83" s="46"/>
    </x:row>
    <x:row r="84" ht="42" customHeight="1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46"/>
      <x:c r="M84" s="46"/>
    </x:row>
    <x:row r="85" ht="42" customHeight="1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46"/>
      <x:c r="M85" s="46"/>
    </x:row>
    <x:row r="86" ht="42" customHeight="1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46"/>
      <x:c r="M86" s="46"/>
    </x:row>
    <x:row r="87" ht="42" customHeight="1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46"/>
      <x:c r="M87" s="46"/>
    </x:row>
    <x:row r="88" ht="42" customHeight="1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46"/>
      <x:c r="M88" s="46"/>
    </x:row>
    <x:row r="89" ht="42" customHeight="1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46"/>
      <x:c r="M89" s="46"/>
    </x:row>
    <x:row r="90" ht="42" customHeight="1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46"/>
      <x:c r="M90" s="46"/>
    </x:row>
    <x:row r="91" ht="42" customHeight="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46"/>
      <x:c r="M91" s="46"/>
    </x:row>
    <x:row r="92" ht="42" customHeight="1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46"/>
      <x:c r="M92" s="46"/>
    </x:row>
    <x:row r="93" ht="42" customHeight="1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46"/>
      <x:c r="M93" s="46"/>
    </x:row>
    <x:row r="94" ht="42" customHeight="1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46"/>
      <x:c r="M94" s="46"/>
    </x:row>
    <x:row r="95" ht="42" customHeight="1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46"/>
      <x:c r="M95" s="46"/>
    </x:row>
    <x:row r="96" ht="42" customHeight="1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46"/>
      <x:c r="M96" s="46"/>
    </x:row>
    <x:row r="97" ht="42" customHeight="1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46"/>
      <x:c r="M97" s="46"/>
    </x:row>
    <x:row r="98" ht="42" customHeight="1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46"/>
      <x:c r="M98" s="46"/>
    </x:row>
    <x:row r="99" ht="42" customHeight="1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46"/>
      <x:c r="M99" s="46"/>
    </x:row>
    <x:row r="100" ht="42" customHeight="1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46"/>
      <x:c r="M100" s="46"/>
    </x:row>
    <x:row r="101" ht="42" customHeight="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46"/>
      <x:c r="M101" s="46"/>
    </x:row>
    <x:row r="102" ht="42" customHeight="1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46"/>
      <x:c r="M102" s="46"/>
    </x:row>
    <x:row r="103" ht="42" customHeight="1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46"/>
      <x:c r="M103" s="46"/>
    </x:row>
    <x:row r="104" ht="42" customHeight="1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46"/>
      <x:c r="M104" s="46"/>
    </x:row>
    <x:row r="105" ht="42" customHeight="1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46"/>
      <x:c r="M105" s="46"/>
    </x:row>
    <x:row r="106" ht="42" customHeight="1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46"/>
      <x:c r="M106" s="46"/>
    </x:row>
    <x:row r="107" ht="42" customHeight="1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46"/>
      <x:c r="M107" s="46"/>
    </x:row>
    <x:row r="108" ht="42" customHeight="1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46"/>
      <x:c r="M108" s="46"/>
    </x:row>
    <x:row r="109" ht="42" customHeight="1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46"/>
      <x:c r="M109" s="46"/>
    </x:row>
    <x:row r="110" ht="42" customHeight="1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46"/>
      <x:c r="M110" s="46"/>
    </x:row>
    <x:row r="111" ht="42" customHeight="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46"/>
      <x:c r="M111" s="46"/>
    </x:row>
    <x:row r="112" ht="42" customHeight="1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46"/>
      <x:c r="M112" s="46"/>
    </x:row>
    <x:row r="113" ht="42" customHeight="1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46"/>
      <x:c r="M113" s="46"/>
    </x:row>
    <x:row r="114" ht="42" customHeight="1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46"/>
      <x:c r="M114" s="46"/>
    </x:row>
    <x:row r="115" ht="42" customHeight="1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46"/>
      <x:c r="M115" s="46"/>
    </x:row>
    <x:row r="116" ht="42" customHeight="1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46"/>
      <x:c r="M116" s="46"/>
    </x:row>
    <x:row r="117" ht="42" customHeight="1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46"/>
      <x:c r="M117" s="46"/>
    </x:row>
    <x:row r="118" ht="42" customHeight="1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46"/>
      <x:c r="M118" s="46"/>
    </x:row>
    <x:row r="119" ht="42" customHeight="1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46"/>
      <x:c r="M119" s="46"/>
    </x:row>
    <x:row r="120" ht="42" customHeight="1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46"/>
      <x:c r="M120" s="46"/>
    </x:row>
    <x:row r="121" ht="42" customHeight="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46"/>
      <x:c r="M121" s="46"/>
    </x:row>
    <x:row r="122" ht="42" customHeight="1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46"/>
      <x:c r="M122" s="46"/>
    </x:row>
    <x:row r="123" ht="42" customHeight="1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46"/>
      <x:c r="M123" s="46"/>
    </x:row>
    <x:row r="124" ht="42" customHeight="1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46"/>
      <x:c r="M124" s="46"/>
    </x:row>
    <x:row r="125" ht="42" customHeight="1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46"/>
      <x:c r="M125" s="46"/>
    </x:row>
    <x:row r="126" ht="42" customHeight="1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46"/>
      <x:c r="M126" s="46"/>
    </x:row>
    <x:row r="127" ht="42" customHeight="1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46"/>
      <x:c r="M127" s="46"/>
    </x:row>
    <x:row r="128" ht="42" customHeight="1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46"/>
      <x:c r="M128" s="46"/>
    </x:row>
    <x:row r="129" ht="42" customHeight="1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46"/>
      <x:c r="M129" s="46"/>
    </x:row>
    <x:row r="130" ht="42" customHeight="1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46"/>
      <x:c r="M130" s="46"/>
    </x:row>
    <x:row r="131" ht="42" customHeight="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46"/>
      <x:c r="M131" s="46"/>
    </x:row>
    <x:row r="132" ht="42" customHeight="1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46"/>
      <x:c r="M132" s="46"/>
    </x:row>
    <x:row r="133" ht="42" customHeight="1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46"/>
      <x:c r="M133" s="46"/>
    </x:row>
    <x:row r="134" ht="42" customHeight="1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46"/>
      <x:c r="M134" s="46"/>
    </x:row>
    <x:row r="135" ht="42" customHeight="1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46"/>
      <x:c r="M135" s="46"/>
    </x:row>
    <x:row r="136" ht="42" customHeight="1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46"/>
      <x:c r="M136" s="46"/>
    </x:row>
    <x:row r="137" ht="42" customHeight="1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46"/>
      <x:c r="M137" s="46"/>
    </x:row>
    <x:row r="138" ht="42" customHeight="1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46"/>
      <x:c r="M138" s="46"/>
    </x:row>
    <x:row r="139" ht="42" customHeight="1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46"/>
      <x:c r="M139" s="46"/>
    </x:row>
    <x:row r="140" ht="42" customHeight="1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46"/>
      <x:c r="M140" s="46"/>
    </x:row>
    <x:row r="141" ht="42" customHeight="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46"/>
      <x:c r="M141" s="46"/>
    </x:row>
    <x:row r="142" ht="42" customHeight="1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46"/>
      <x:c r="M142" s="46"/>
    </x:row>
    <x:row r="143" ht="42" customHeight="1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46"/>
      <x:c r="M143" s="46"/>
    </x:row>
    <x:row r="144" ht="42" customHeight="1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46"/>
      <x:c r="M144" s="46"/>
    </x:row>
    <x:row r="145" ht="42" customHeight="1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46"/>
      <x:c r="M145" s="46"/>
    </x:row>
    <x:row r="146" ht="42" customHeight="1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46"/>
      <x:c r="M146" s="46"/>
    </x:row>
    <x:row r="147" ht="42" customHeight="1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46"/>
      <x:c r="M147" s="46"/>
    </x:row>
    <x:row r="148" ht="42" customHeight="1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46"/>
      <x:c r="M148" s="46"/>
    </x:row>
    <x:row r="149" ht="42" customHeight="1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46"/>
      <x:c r="M149" s="46"/>
    </x:row>
    <x:row r="150" ht="42" customHeight="1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46"/>
      <x:c r="M150" s="46"/>
    </x:row>
    <x:row r="151" ht="42" customHeight="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46"/>
      <x:c r="M151" s="46"/>
    </x:row>
    <x:row r="152" ht="42" customHeight="1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46"/>
      <x:c r="M152" s="46"/>
    </x:row>
    <x:row r="153" ht="42" customHeight="1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46"/>
      <x:c r="M153" s="46"/>
    </x:row>
    <x:row r="154" ht="42" customHeight="1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46"/>
      <x:c r="M154" s="46"/>
    </x:row>
    <x:row r="155" ht="42" customHeight="1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46"/>
      <x:c r="M155" s="46"/>
    </x:row>
    <x:row r="156" ht="42" customHeight="1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46"/>
      <x:c r="M156" s="46"/>
    </x:row>
    <x:row r="157" ht="42" customHeight="1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46"/>
      <x:c r="M157" s="46"/>
    </x:row>
    <x:row r="158" ht="42" customHeight="1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46"/>
      <x:c r="M158" s="46"/>
    </x:row>
    <x:row r="159" ht="42" customHeight="1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46"/>
      <x:c r="M159" s="46"/>
    </x:row>
    <x:row r="160" ht="42" customHeight="1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46"/>
      <x:c r="M160" s="46"/>
    </x:row>
    <x:row r="161" ht="42" customHeight="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46"/>
      <x:c r="M161" s="46"/>
    </x:row>
    <x:row r="162" ht="42" customHeight="1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46"/>
      <x:c r="M162" s="46"/>
    </x:row>
    <x:row r="163" ht="42" customHeight="1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46"/>
      <x:c r="M163" s="46"/>
    </x:row>
    <x:row r="164" ht="42" customHeight="1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46"/>
      <x:c r="M164" s="46"/>
    </x:row>
    <x:row r="165" ht="42" customHeight="1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46"/>
      <x:c r="M165" s="46"/>
    </x:row>
    <x:row r="166" ht="42" customHeight="1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46"/>
      <x:c r="M166" s="46"/>
    </x:row>
    <x:row r="167" ht="42" customHeight="1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46"/>
      <x:c r="M167" s="46"/>
    </x:row>
    <x:row r="168" ht="42" customHeight="1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46"/>
      <x:c r="M168" s="46"/>
    </x:row>
    <x:row r="169" ht="42" customHeight="1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46"/>
      <x:c r="M169" s="46"/>
    </x:row>
    <x:row r="170" ht="42" customHeight="1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46"/>
      <x:c r="M170" s="46"/>
    </x:row>
    <x:row r="171" ht="42" customHeight="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46"/>
      <x:c r="M171" s="46"/>
    </x:row>
    <x:row r="172" ht="42" customHeight="1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46"/>
      <x:c r="M172" s="46"/>
    </x:row>
    <x:row r="173" ht="42" customHeight="1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46"/>
      <x:c r="M173" s="46"/>
    </x:row>
    <x:row r="174" ht="42" customHeight="1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46"/>
      <x:c r="M174" s="46"/>
    </x:row>
    <x:row r="175" ht="42" customHeight="1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46"/>
      <x:c r="M175" s="46"/>
    </x:row>
    <x:row r="176" ht="42" customHeight="1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46"/>
      <x:c r="M176" s="46"/>
    </x:row>
    <x:row r="177" ht="42" customHeight="1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46"/>
      <x:c r="M177" s="46"/>
    </x:row>
    <x:row r="178" ht="42" customHeight="1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46"/>
      <x:c r="M178" s="46"/>
    </x:row>
    <x:row r="179" ht="42" customHeight="1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46"/>
      <x:c r="M179" s="46"/>
    </x:row>
    <x:row r="180" ht="42" customHeight="1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46"/>
      <x:c r="M180" s="46"/>
    </x:row>
    <x:row r="181" ht="42" customHeight="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46"/>
      <x:c r="M181" s="46"/>
    </x:row>
    <x:row r="182" ht="42" customHeight="1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46"/>
      <x:c r="M182" s="46"/>
    </x:row>
    <x:row r="183" ht="42" customHeight="1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46"/>
      <x:c r="M183" s="46"/>
    </x:row>
    <x:row r="184" ht="42" customHeight="1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46"/>
      <x:c r="M184" s="46"/>
    </x:row>
    <x:row r="185" ht="42" customHeight="1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46"/>
      <x:c r="M185" s="46"/>
    </x:row>
    <x:row r="186" ht="42" customHeight="1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46"/>
      <x:c r="M186" s="46"/>
    </x:row>
    <x:row r="187" ht="42" customHeight="1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46"/>
      <x:c r="M187" s="46"/>
    </x:row>
    <x:row r="188" ht="42" customHeight="1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46"/>
      <x:c r="M188" s="46"/>
    </x:row>
    <x:row r="189" ht="42" customHeight="1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46"/>
      <x:c r="M189" s="46"/>
    </x:row>
    <x:row r="190" ht="42" customHeight="1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46"/>
      <x:c r="M190" s="46"/>
    </x:row>
    <x:row r="191" ht="42" customHeight="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46"/>
      <x:c r="M191" s="46"/>
    </x:row>
    <x:row r="192" ht="42" customHeight="1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46"/>
      <x:c r="M192" s="46"/>
    </x:row>
    <x:row r="193" ht="42" customHeight="1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46"/>
      <x:c r="M193" s="46"/>
    </x:row>
    <x:row r="194" ht="42" customHeight="1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46"/>
      <x:c r="M194" s="46"/>
    </x:row>
    <x:row r="195" ht="42" customHeight="1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46"/>
      <x:c r="M195" s="46"/>
    </x:row>
    <x:row r="196" ht="42" customHeight="1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46"/>
      <x:c r="M196" s="46"/>
    </x:row>
    <x:row r="197" ht="42" customHeight="1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46"/>
      <x:c r="M197" s="46"/>
    </x:row>
    <x:row r="198" ht="42" customHeight="1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46"/>
      <x:c r="M198" s="46"/>
    </x:row>
    <x:row r="199" ht="42" customHeight="1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46"/>
      <x:c r="M199" s="46"/>
    </x:row>
    <x:row r="200" ht="42" customHeight="1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46"/>
      <x:c r="M200" s="46"/>
    </x:row>
  </x:sheetData>
  <x:conditionalFormatting sqref="C2:C200">
    <x:cfRule type="expression" dxfId="13" priority="1">
      <x:formula>$C2="Critical"</x:formula>
    </x:cfRule>
    <x:cfRule type="expression" dxfId="14" priority="2">
      <x:formula>$C2="High"</x:formula>
    </x:cfRule>
    <x:cfRule type="expression" dxfId="15" priority="3">
      <x:formula>$C2="Medium"</x:formula>
    </x:cfRule>
  </x:conditionalFormatting>
  <x:conditionalFormatting sqref="D2:D200">
    <x:cfRule type="expression" dxfId="16" priority="4">
      <x:formula>$D2="Open"</x:formula>
    </x:cfRule>
    <x:cfRule type="expression" dxfId="17" priority="5">
      <x:formula>$D2="Fixed"</x:formula>
    </x:cfRule>
    <x:cfRule type="expression" dxfId="18" priority="6">
      <x:formula>$D2="Closed"</x:formula>
    </x:cfRule>
  </x:conditionalFormatting>
  <x:dataValidations count="2">
    <x:dataValidation type="list" sqref="C2:C200">
      <x:formula1>Lists!$C$2:$C$5</x:formula1>
    </x:dataValidation>
    <x:dataValidation type="list" sqref="D2:D200">
      <x:formula1>Lists!$E$2:$E$7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8a3f012b86470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60" hidden="0" customWidth="1"/>
    <x:col min="4" max="4" width="42" hidden="0" customWidth="1"/>
  </x:cols>
  <x:sheetData>
    <x:row r="1" ht="30" customHeight="1">
      <x:c r="A1" s="40" t="str">
        <x:v>Category</x:v>
      </x:c>
      <x:c r="B1" s="40" t="str">
        <x:v>Name</x:v>
      </x:c>
      <x:c r="C1" s="40" t="str">
        <x:v>Value</x:v>
      </x:c>
      <x:c r="D1" s="40" t="str">
        <x:v>Notes</x:v>
      </x:c>
    </x:row>
    <x:row r="2" ht="45" customHeight="1">
      <x:c r="A2" s="27" t="str">
        <x:v>Server</x:v>
      </x:c>
      <x:c r="B2" s="27" t="str">
        <x:v>Render URL</x:v>
      </x:c>
      <x:c r="C2" s="27" t="str">
        <x:v>https://moonhardremotev2.onrender.com</x:v>
      </x:c>
      <x:c r="D2" s="27" t="str">
        <x:v>Production-like test URL</x:v>
      </x:c>
    </x:row>
    <x:row r="3" ht="45" customHeight="1">
      <x:c r="A3" s="27" t="str">
        <x:v>AppSettings</x:v>
      </x:c>
      <x:c r="B3" s="27" t="str">
        <x:v>Expected Path</x:v>
      </x:c>
      <x:c r="C3" s="27" t="str">
        <x:v>C:\Program Files (x86)\Sunsoft Ltd\ExternalTaxProvider\External.Tax.Provider\appsettings.production.json</x:v>
      </x:c>
      <x:c r="D3" s="27" t="str">
        <x:v>Client reads only this file</x:v>
      </x:c>
    </x:row>
    <x:row r="4" ht="45" customHeight="1">
      <x:c r="A4" s="27" t="str">
        <x:v>SQL Query</x:v>
      </x:c>
      <x:c r="B4" s="27" t="str">
        <x:v>Connection Test</x:v>
      </x:c>
      <x:c r="C4" s="27" t="str">
        <x:v>SELECT @@SERVERNAME AS ServerName, DB_NAME() AS DatabaseName;</x:v>
      </x:c>
      <x:c r="D4" s="27" t="str">
        <x:v>Used for SQL UAT</x:v>
      </x:c>
    </x:row>
    <x:row r="5" ht="45" customHeight="1">
      <x:c r="A5" s="27" t="str">
        <x:v>SQL Query</x:v>
      </x:c>
      <x:c r="B5" s="27" t="str">
        <x:v>Information Schema</x:v>
      </x:c>
      <x:c r="C5" s="27" t="str">
        <x:v>SELECT TOP 10 * FROM INFORMATION_SCHEMA.TABLES;</x:v>
      </x:c>
      <x:c r="D5" s="27" t="str">
        <x:v>Used for result set UAT</x:v>
      </x:c>
    </x:row>
    <x:row r="6" ht="45" customHeight="1">
      <x:c r="A6" s="27" t="str">
        <x:v>SQL Query</x:v>
      </x:c>
      <x:c r="B6" s="27" t="str">
        <x:v>Cancel Test</x:v>
      </x:c>
      <x:c r="C6" s="27" t="str">
        <x:v>WAITFOR DELAY '00:01:00'; SELECT 1 AS Done;</x:v>
      </x:c>
      <x:c r="D6" s="27" t="str">
        <x:v>Used for stop/cancel UAT</x:v>
      </x:c>
    </x:row>
    <x:row r="7" ht="45" customHeight="1">
      <x:c r="A7" s="27" t="str">
        <x:v>SQL Script</x:v>
      </x:c>
      <x:c r="B7" s="27" t="str">
        <x:v>GO Batch</x:v>
      </x:c>
      <x:c r="C7" s="27" t="str">
        <x:v>SELECT @@SERVERNAME AS ServerName;
GO
SELECT DB_NAME() AS DatabaseName;
GO</x:v>
      </x:c>
      <x:c r="D7" s="27" t="str">
        <x:v>Used for .sql file / GO batch UAT</x:v>
      </x:c>
    </x:row>
    <x:row r="8" ht="45" customHeight="1"/>
    <x:row r="9" ht="45" customHeight="1"/>
    <x:row r="10" ht="45" customHeight="1"/>
    <x:row r="11" ht="45" customHeight="1"/>
    <x:row r="12" ht="45" customHeight="1"/>
    <x:row r="13" ht="45" customHeight="1"/>
    <x:row r="14" ht="45" customHeight="1"/>
    <x:row r="15" ht="45" customHeight="1"/>
    <x:row r="16" ht="45" customHeight="1"/>
    <x:row r="17" ht="45" customHeight="1"/>
    <x:row r="18" ht="45" customHeight="1"/>
    <x:row r="19" ht="45" customHeight="1"/>
    <x:row r="20" ht="45" customHeight="1"/>
  </x:sheetData>
  <x:pageMargins left="0.7" right="0.7" top="0.75" bottom="0.75" header="0.3" footer="0.3"/>
  <x:tableParts count="1">
    <x:tablePart xmlns:r="http://schemas.openxmlformats.org/officeDocument/2006/relationships" r:id="Rdbf1bc593fe54d5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3" max="3" width="22" hidden="0" customWidth="1"/>
    <x:col min="5" max="5" width="22" hidden="0" customWidth="1"/>
  </x:cols>
  <x:sheetData>
    <x:row r="1">
      <x:c r="A1" s="40" t="str">
        <x:v>Status Values</x:v>
      </x:c>
      <x:c r="B1" s="27"/>
      <x:c r="C1" s="40" t="str">
        <x:v>Severity Values</x:v>
      </x:c>
      <x:c r="D1" s="27"/>
      <x:c r="E1" s="40" t="str">
        <x:v>Defect Status Values</x:v>
      </x:c>
    </x:row>
    <x:row r="2">
      <x:c r="A2" s="27" t="str">
        <x:v>Not Started</x:v>
      </x:c>
      <x:c r="B2" s="27"/>
      <x:c r="C2" s="27" t="str">
        <x:v>Low</x:v>
      </x:c>
      <x:c r="D2" s="27"/>
      <x:c r="E2" s="27" t="str">
        <x:v>Open</x:v>
      </x:c>
    </x:row>
    <x:row r="3">
      <x:c r="A3" s="27" t="str">
        <x:v>Pass</x:v>
      </x:c>
      <x:c r="B3" s="27"/>
      <x:c r="C3" s="27" t="str">
        <x:v>Medium</x:v>
      </x:c>
      <x:c r="D3" s="27"/>
      <x:c r="E3" s="27" t="str">
        <x:v>In Progress</x:v>
      </x:c>
    </x:row>
    <x:row r="4">
      <x:c r="A4" s="27" t="str">
        <x:v>Fail</x:v>
      </x:c>
      <x:c r="B4" s="27"/>
      <x:c r="C4" s="27" t="str">
        <x:v>High</x:v>
      </x:c>
      <x:c r="D4" s="27"/>
      <x:c r="E4" s="27" t="str">
        <x:v>Fixed</x:v>
      </x:c>
    </x:row>
    <x:row r="5">
      <x:c r="A5" s="27" t="str">
        <x:v>Blocked</x:v>
      </x:c>
      <x:c r="B5" s="27"/>
      <x:c r="C5" s="27" t="str">
        <x:v>Critical</x:v>
      </x:c>
      <x:c r="D5" s="27"/>
      <x:c r="E5" s="27" t="str">
        <x:v>Retest</x:v>
      </x:c>
    </x:row>
    <x:row r="6">
      <x:c r="A6" s="27" t="str">
        <x:v>Retest</x:v>
      </x:c>
      <x:c r="B6" s="27"/>
      <x:c r="C6" s="27"/>
      <x:c r="D6" s="27"/>
      <x:c r="E6" s="27" t="str">
        <x:v>Closed</x:v>
      </x:c>
    </x:row>
    <x:row r="7">
      <x:c r="A7" s="27" t="str">
        <x:v>N/A</x:v>
      </x:c>
      <x:c r="B7" s="27"/>
      <x:c r="C7" s="27"/>
      <x:c r="D7" s="27"/>
      <x:c r="E7" s="27" t="str">
        <x:v>Won't Fix</x:v>
      </x:c>
    </x:row>
    <x:row r="8">
      <x:c r="A8" s="27"/>
      <x:c r="B8" s="27"/>
      <x:c r="C8" s="27"/>
      <x:c r="D8" s="27"/>
      <x:c r="E8" s="27"/>
    </x:row>
    <x:row r="9">
      <x:c r="A9" s="27"/>
      <x:c r="B9" s="27"/>
      <x:c r="C9" s="27"/>
      <x:c r="D9" s="27"/>
      <x:c r="E9" s="27"/>
    </x:row>
    <x:row r="10">
      <x:c r="A10" s="27"/>
      <x:c r="B10" s="27"/>
      <x:c r="C10" s="27"/>
      <x:c r="D10" s="27"/>
      <x:c r="E10" s="27"/>
    </x:row>
    <x:row r="11">
      <x:c r="A11" s="27"/>
      <x:c r="B11" s="27"/>
      <x:c r="C11" s="27"/>
      <x:c r="D11" s="27"/>
      <x:c r="E11" s="27"/>
    </x:row>
    <x:row r="12">
      <x:c r="A12" s="27"/>
      <x:c r="B12" s="27"/>
      <x:c r="C12" s="27"/>
      <x:c r="D12" s="27"/>
      <x:c r="E12" s="27"/>
    </x:row>
    <x:row r="13">
      <x:c r="A13" s="27"/>
      <x:c r="B13" s="27"/>
      <x:c r="C13" s="27"/>
      <x:c r="D13" s="27"/>
      <x:c r="E13" s="27"/>
    </x:row>
    <x:row r="14">
      <x:c r="A14" s="27"/>
      <x:c r="B14" s="27"/>
      <x:c r="C14" s="27"/>
      <x:c r="D14" s="27"/>
      <x:c r="E14" s="27"/>
    </x:row>
    <x:row r="15">
      <x:c r="A15" s="27"/>
      <x:c r="B15" s="27"/>
      <x:c r="C15" s="27"/>
      <x:c r="D15" s="27"/>
      <x:c r="E15" s="27"/>
    </x:row>
    <x:row r="16">
      <x:c r="A16" s="27"/>
      <x:c r="B16" s="27"/>
      <x:c r="C16" s="27"/>
      <x:c r="D16" s="27"/>
      <x:c r="E16" s="27"/>
    </x:row>
    <x:row r="17">
      <x:c r="A17" s="27"/>
      <x:c r="B17" s="27"/>
      <x:c r="C17" s="27"/>
      <x:c r="D17" s="27"/>
      <x:c r="E17" s="27"/>
    </x:row>
    <x:row r="18">
      <x:c r="A18" s="27"/>
      <x:c r="B18" s="27"/>
      <x:c r="C18" s="27"/>
      <x:c r="D18" s="27"/>
      <x:c r="E18" s="27"/>
    </x:row>
    <x:row r="19">
      <x:c r="A19" s="27"/>
      <x:c r="B19" s="27"/>
      <x:c r="C19" s="27"/>
      <x:c r="D19" s="27"/>
      <x:c r="E19" s="27"/>
    </x:row>
    <x:row r="20">
      <x:c r="A20" s="27"/>
      <x:c r="B20" s="27"/>
      <x:c r="C20" s="27"/>
      <x:c r="D20" s="27"/>
      <x:c r="E20" s="27"/>
    </x:row>
  </x:sheetData>
  <x:pageMargins left="0.7" right="0.7" top="0.75" bottom="0.75" header="0.3" footer="0.3"/>
</x:worksheet>
</file>